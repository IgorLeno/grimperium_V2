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88c86c082c49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b62e2404db524654"/>
    <x:sheet xmlns:r="http://schemas.openxmlformats.org/officeDocument/2006/relationships" name="01_moleculas_cbthermo" sheetId="2" r:id="R4db50828b44646dd"/>
    <x:sheet xmlns:r="http://schemas.openxmlformats.org/officeDocument/2006/relationships" name="02_pipeline_grimperium_mini" sheetId="3" r:id="R56485279ee6d4278"/>
    <x:sheet xmlns:r="http://schemas.openxmlformats.org/officeDocument/2006/relationships" name="03_resultados_formacao" sheetId="4" r:id="R437b1a0aed9c484a"/>
    <x:sheet xmlns:r="http://schemas.openxmlformats.org/officeDocument/2006/relationships" name="04_reacoes" sheetId="5" r:id="Rb3375974e40c4f3c"/>
    <x:sheet xmlns:r="http://schemas.openxmlformats.org/officeDocument/2006/relationships" name="05_resumo_metricas" sheetId="6" r:id="Ra236681133cd4472"/>
    <x:sheet xmlns:r="http://schemas.openxmlformats.org/officeDocument/2006/relationships" name="06_grimperium_original" sheetId="7" r:id="Rd752e0a3c38e46c1"/>
    <x:sheet xmlns:r="http://schemas.openxmlformats.org/officeDocument/2006/relationships" name="07_claude_code" sheetId="8" r:id="R688f07928ad440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%"/>
  </x:numFmts>
  <x:fonts count="4">
    <x:font>
      <x:sz val="11"/>
      <x:name val="Carlito"/>
    </x:font>
    <x:font>
      <x:b/>
      <x:sz val="14"/>
      <x:color rgb="FFFFFF"/>
      <x:name val="Carlito"/>
    </x:font>
    <x:font>
      <x:sz val="11"/>
      <x:color rgb="1F2937"/>
      <x:name val="Carlito"/>
    </x:font>
    <x:font>
      <x:b/>
      <x:sz val="11"/>
      <x:color rgb="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FFF2CC"/>
      </x:patternFill>
    </x:fill>
    <x:fill>
      <x:patternFill patternType="solid">
        <x:fgColor rgb="D9EAF7"/>
      </x:patternFill>
    </x:fill>
    <x:fill>
      <x:patternFill patternType="solid">
        <x:fgColor rgb="E2F0D9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22ad02e5094c77" /><Relationship Type="http://schemas.openxmlformats.org/officeDocument/2006/relationships/theme" Target="/xl/theme/theme1.xml" Id="Rd1d698b293b24980" /><Relationship Type="http://schemas.microsoft.com/office/2022/11/relationships/FeaturePropertyBag" Target="/xl/featurePropertyBag/featurePropertyBag.xml" Id="R61a4f42634e046d9" /><Relationship Type="http://schemas.openxmlformats.org/officeDocument/2006/relationships/sharedStrings" Target="/xl/sharedStrings.xml" Id="R2fb9a0cc7268494f" /><Relationship Type="http://schemas.openxmlformats.org/officeDocument/2006/relationships/worksheet" Target="/xl/worksheets/sheet1.xml" Id="Rb62e2404db524654" /><Relationship Type="http://schemas.openxmlformats.org/officeDocument/2006/relationships/worksheet" Target="/xl/worksheets/sheet2.xml" Id="R4db50828b44646dd" /><Relationship Type="http://schemas.openxmlformats.org/officeDocument/2006/relationships/worksheet" Target="/xl/worksheets/sheet3.xml" Id="R56485279ee6d4278" /><Relationship Type="http://schemas.openxmlformats.org/officeDocument/2006/relationships/worksheet" Target="/xl/worksheets/sheet4.xml" Id="R437b1a0aed9c484a" /><Relationship Type="http://schemas.openxmlformats.org/officeDocument/2006/relationships/worksheet" Target="/xl/worksheets/sheet5.xml" Id="Rb3375974e40c4f3c" /><Relationship Type="http://schemas.openxmlformats.org/officeDocument/2006/relationships/worksheet" Target="/xl/worksheets/sheet6.xml" Id="Ra236681133cd4472" /><Relationship Type="http://schemas.openxmlformats.org/officeDocument/2006/relationships/worksheet" Target="/xl/worksheets/sheet7.xml" Id="Rd752e0a3c38e46c1" /><Relationship Type="http://schemas.openxmlformats.org/officeDocument/2006/relationships/worksheet" Target="/xl/worksheets/sheet8.xml" Id="R688f07928ad4403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4" t="str">
        <x:v>grimperium_mini — planilha de controle do pipeline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10" t="str">
        <x:v>Base montada a partir do TCC/CBThermo e preparada para receber resultados CREST + MOPAC AM1/PM3/PM7.</x:v>
      </x:c>
      <x:c r="B2" s="10"/>
      <x:c r="C2" s="10"/>
      <x:c r="D2" s="10"/>
      <x:c r="E2" s="10"/>
      <x:c r="F2" s="10"/>
      <x:c r="G2" s="10"/>
      <x:c r="H2" s="10"/>
      <x:c r="I2" s="10"/>
    </x:row>
    <x:row r="4">
      <x:c r="A4" s="18" t="str">
        <x:v>Item</x:v>
      </x:c>
      <x:c r="B4" s="18" t="str">
        <x:v>Conteúdo</x:v>
      </x:c>
    </x:row>
    <x:row r="5">
      <x:c r="A5" s="24" t="str">
        <x:v>Objetivo</x:v>
      </x:c>
      <x:c r="B5" s="24" t="str">
        <x:v>Rodar as mesmas moléculas do trabalho CBThermo/TCC, substituindo a busca conformacional do VEGA por CREST e mantendo a otimização/entalpia via MOPAC.</x:v>
      </x:c>
    </x:row>
    <x:row r="6">
      <x:c r="A6" s="24" t="str">
        <x:v>Unidades</x:v>
      </x:c>
      <x:c r="B6" s="24" t="str">
        <x:v>A planilha usa kJ/mol para comparação com o TCC. O MOPAC normalmente reporta heat of formation em kcal/mol; a coluna hof_selected_kJmol converte por 4,184.</x:v>
      </x:c>
    </x:row>
    <x:row r="7">
      <x:c r="A7" s="24" t="str">
        <x:v>Fonte 1</x:v>
      </x:c>
      <x:c r="B7" s="24" t="str">
        <x:v>TCC_atual.xlsm: valores experimentais, AM1/PM3/PM7 obtidos com VEGA+MOPAC e contribuição de grupos JR/CG/MG.</x:v>
      </x:c>
    </x:row>
    <x:row r="8">
      <x:c r="A8" s="24" t="str">
        <x:v>Fonte 2</x:v>
      </x:c>
      <x:c r="B8" s="24" t="str">
        <x:v>thermo_pm7.csv: resultados do Grimperium original, pareados por SMILES quando houve correspondência exata.</x:v>
      </x:c>
    </x:row>
    <x:row r="9">
      <x:c r="A9" s="24" t="str">
        <x:v>Como usar</x:v>
      </x:c>
      <x:c r="B9" s="24" t="str">
        <x:v>O grimperium_mini deve ler 02_pipeline_grimperium_mini, preencher status, conformeros, HOF e arquivos de saída. As abas de formação, reação e métricas são atualizadas por fórmula.</x:v>
      </x:c>
    </x:row>
    <x:row r="10">
      <x:c r="A10" s="24" t="str">
        <x:v>Escopo do código</x:v>
      </x:c>
      <x:c r="B10" s="24" t="str">
        <x:v>Não incluir delta-learning, modelo de ML, CBS-QB3, CLI grande, dashboard Rich completo ou batch system complexo do Grimperium original.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15" hidden="0" customWidth="1"/>
    <x:col min="5" max="5" width="16" hidden="0" customWidth="1"/>
    <x:col min="6" max="6" width="10" hidden="0" customWidth="1"/>
    <x:col min="7" max="7" width="12" hidden="0" customWidth="1"/>
    <x:col min="8" max="8" width="15" hidden="0" customWidth="1"/>
    <x:col min="9" max="9" width="14" hidden="0" customWidth="1"/>
    <x:col min="10" max="10" width="14" hidden="0" customWidth="1"/>
    <x:col min="11" max="11" width="14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16" hidden="0" customWidth="1"/>
    <x:col min="17" max="17" width="18" hidden="0" customWidth="1"/>
    <x:col min="18" max="18" width="14" hidden="0" customWidth="1"/>
    <x:col min="19" max="19" width="18" hidden="0" customWidth="1"/>
    <x:col min="20" max="20" width="18" hidden="0" customWidth="1"/>
    <x:col min="21" max="21" width="20" hidden="0" customWidth="1"/>
    <x:col min="22" max="22" width="52" hidden="0" customWidth="1"/>
  </x:cols>
  <x:sheetData>
    <x:row r="1">
      <x:c r="A1" s="4" t="str">
        <x:v>Moléculas do CBThermo/TCC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</x:row>
    <x:row r="2">
      <x:c r="A2" s="10" t="str">
        <x:v>Valores de referência e contribuição de grupos preservados da planilha original.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</x:row>
    <x:row r="4">
      <x:c r="A4" s="18" t="str">
        <x:v>mol_id</x:v>
      </x:c>
      <x:c r="B4" s="18" t="str">
        <x:v>molecule</x:v>
      </x:c>
      <x:c r="C4" s="18" t="str">
        <x:v>smiles</x:v>
      </x:c>
      <x:c r="D4" s="18" t="str">
        <x:v>formula</x:v>
      </x:c>
      <x:c r="E4" s="18" t="str">
        <x:v>group</x:v>
      </x:c>
      <x:c r="F4" s="18" t="str">
        <x:v>n_atoms</x:v>
      </x:c>
      <x:c r="G4" s="18" t="str">
        <x:v>source_exp</x:v>
      </x:c>
      <x:c r="H4" s="18" t="str">
        <x:v>Hf_exp_kJmol</x:v>
      </x:c>
      <x:c r="I4" s="18" t="str">
        <x:v>Hf_JR_kJmol</x:v>
      </x:c>
      <x:c r="J4" s="18" t="str">
        <x:v>Hf_CG_kJmol</x:v>
      </x:c>
      <x:c r="K4" s="18" t="str">
        <x:v>Hf_MG_kJmol</x:v>
      </x:c>
      <x:c r="L4" s="18" t="str">
        <x:v>Hf_AM1_TCC_VEGA_MOPAC_kJmol</x:v>
      </x:c>
      <x:c r="M4" s="18" t="str">
        <x:v>Hf_PM3_TCC_VEGA_MOPAC_kJmol</x:v>
      </x:c>
      <x:c r="N4" s="18" t="str">
        <x:v>Hf_PM7_TCC_VEGA_MOPAC_kJmol</x:v>
      </x:c>
      <x:c r="O4" s="18" t="str">
        <x:v>Hf_RM1_TCC_VEGA_MOPAC_kJmol</x:v>
      </x:c>
      <x:c r="P4" s="18" t="str">
        <x:v>AD_PM7_TCC_kJmol</x:v>
      </x:c>
      <x:c r="Q4" s="18" t="str">
        <x:v>grimperium_original_mol_id</x:v>
      </x:c>
      <x:c r="R4" s="18" t="str">
        <x:v>grimperium_original_status</x:v>
      </x:c>
      <x:c r="S4" s="18" t="str">
        <x:v>grimperium_original_H298_pm7_kcalmol</x:v>
      </x:c>
      <x:c r="T4" s="18" t="str">
        <x:v>grimperium_original_H298_pm7_kJmol</x:v>
      </x:c>
      <x:c r="U4" s="18" t="str">
        <x:v>grimperium_original_H298_predicted_kcalmol</x:v>
      </x:c>
      <x:c r="V4" s="18" t="str">
        <x:v>observacao</x:v>
      </x:c>
      <x:c r="W4" s="24"/>
      <x:c r="X4" s="24"/>
      <x:c r="Y4" s="24"/>
      <x:c r="Z4" s="24"/>
      <x:c r="AA4" s="24"/>
      <x:c r="AB4" s="24"/>
      <x:c r="AC4" s="24"/>
      <x:c r="AD4" s="24"/>
      <x:c r="AE4" s="24"/>
      <x:c r="AF4" s="24"/>
      <x:c r="AG4" s="24"/>
      <x:c r="AH4" s="24"/>
    </x:row>
    <x:row r="5">
      <x:c r="A5" t="str">
        <x:v>cbt_001</x:v>
      </x:c>
      <x:c r="B5" t="str">
        <x:v>Acetic acid</x:v>
      </x:c>
      <x:c r="C5" t="str">
        <x:v>CC(=O)O</x:v>
      </x:c>
      <x:c r="D5" t="str">
        <x:v> C2H4O2</x:v>
      </x:c>
      <x:c r="E5" t="str">
        <x:v>Acids</x:v>
      </x:c>
      <x:c r="F5" t="n">
        <x:v>8</x:v>
      </x:c>
      <x:c r="G5" t="str">
        <x:v>CRC</x:v>
      </x:c>
      <x:c r="H5" s="26" t="n">
        <x:v>-432.2</x:v>
      </x:c>
      <x:c r="I5" s="26" t="n">
        <x:v>-434.88</x:v>
      </x:c>
      <x:c r="J5" s="26" t="n">
        <x:v>-431.35400000000004</x:v>
      </x:c>
      <x:c r="K5" s="26" t="n">
        <x:v>-426.861</x:v>
      </x:c>
      <x:c r="L5" s="26" t="n">
        <x:v>-431.19347</x:v>
      </x:c>
      <x:c r="M5" s="26" t="n">
        <x:v>-426.94471</x:v>
      </x:c>
      <x:c r="N5" s="26" t="n">
        <x:v>-427.79466</x:v>
      </x:c>
      <x:c r="O5" s="26" t="n">
        <x:v>-424.18656</x:v>
      </x:c>
      <x:c r="P5" s="26" t="n">
        <x:v>4.405339999999967</x:v>
      </x:c>
      <x:c r="Q5" s="26" t="str"/>
      <x:c r="R5" s="26" t="str"/>
      <x:c r="S5" s="26"/>
      <x:c r="T5" s="26"/>
      <x:c r="U5" s="26"/>
      <x:c r="V5" t="str">
        <x:v>SMILES manual; revisar/canonicalizar com RDKit no grimperium_mini.</x:v>
      </x:c>
    </x:row>
    <x:row r="6">
      <x:c r="A6" t="str">
        <x:v>cbt_002</x:v>
      </x:c>
      <x:c r="B6" t="str">
        <x:v>Propanoic acid</x:v>
      </x:c>
      <x:c r="C6" t="str">
        <x:v>CCC(=O)O</x:v>
      </x:c>
      <x:c r="D6" t="str">
        <x:v>C3H6O2</x:v>
      </x:c>
      <x:c r="E6" t="str">
        <x:v>Acids</x:v>
      </x:c>
      <x:c r="F6" t="n">
        <x:v>11</x:v>
      </x:c>
      <x:c r="G6" t="str">
        <x:v>CRC</x:v>
      </x:c>
      <x:c r="H6" s="26" t="n">
        <x:v>-455.7</x:v>
      </x:c>
      <x:c r="I6" s="26" t="n">
        <x:v>-455.52000000000004</x:v>
      </x:c>
      <x:c r="J6" s="26" t="n">
        <x:v>-452.117</x:v>
      </x:c>
      <x:c r="K6" s="26" t="n">
        <x:v>-447.69</x:v>
      </x:c>
      <x:c r="L6" s="26" t="n">
        <x:v>-456.69109</x:v>
      </x:c>
      <x:c r="M6" s="26" t="n">
        <x:v>-445.3205</x:v>
      </x:c>
      <x:c r="N6" s="26" t="n">
        <x:v>-446.53103</x:v>
      </x:c>
      <x:c r="O6" s="26" t="n">
        <x:v>-443.89516</x:v>
      </x:c>
      <x:c r="P6" s="26" t="n">
        <x:v>9.168970000000002</x:v>
      </x:c>
      <x:c r="Q6" s="26" t="str">
        <x:v>mol_01087</x:v>
      </x:c>
      <x:c r="R6" s="26" t="str">
        <x:v>OK</x:v>
      </x:c>
      <x:c r="S6" s="26" t="n">
        <x:v>-106.72</x:v>
      </x:c>
      <x:c r="T6" s="26" t="n">
        <x:v>-446.51648</x:v>
      </x:c>
      <x:c r="U6" s="26" t="n">
        <x:v>-106.750645</x:v>
      </x:c>
      <x:c r="V6" t="str">
        <x:v>SMILES manual; revisar/canonicalizar com RDKit no grimperium_mini.</x:v>
      </x:c>
    </x:row>
    <x:row r="7">
      <x:c r="A7" t="str">
        <x:v>cbt_003</x:v>
      </x:c>
      <x:c r="B7" t="str">
        <x:v>Butyric acid</x:v>
      </x:c>
      <x:c r="C7" t="str">
        <x:v>CCCC(=O)O</x:v>
      </x:c>
      <x:c r="D7" t="str">
        <x:v>C4H8O2</x:v>
      </x:c>
      <x:c r="E7" t="str">
        <x:v>Acids</x:v>
      </x:c>
      <x:c r="F7" t="n">
        <x:v>14</x:v>
      </x:c>
      <x:c r="G7" t="str">
        <x:v>PERRY</x:v>
      </x:c>
      <x:c r="H7" s="26" t="n">
        <x:v>-475.8</x:v>
      </x:c>
      <x:c r="I7" s="26" t="n">
        <x:v>-476.16</x:v>
      </x:c>
      <x:c r="J7" s="26" t="n">
        <x:v>-472.88000000000005</x:v>
      </x:c>
      <x:c r="K7" s="26" t="n">
        <x:v>-468.519</x:v>
      </x:c>
      <x:c r="L7" s="26" t="n">
        <x:v>-485.54653</x:v>
      </x:c>
      <x:c r="M7" s="26" t="n">
        <x:v>-467.96146</x:v>
      </x:c>
      <x:c r="N7" s="26" t="n">
        <x:v>-468.50627</x:v>
      </x:c>
      <x:c r="O7" s="26" t="n">
        <x:v>-464.59833</x:v>
      </x:c>
      <x:c r="P7" s="26" t="n">
        <x:v>7.293730000000039</x:v>
      </x:c>
      <x:c r="Q7" s="26" t="str">
        <x:v>mol_01110</x:v>
      </x:c>
      <x:c r="R7" s="26" t="str">
        <x:v>OK</x:v>
      </x:c>
      <x:c r="S7" s="26" t="n">
        <x:v>-111.98</x:v>
      </x:c>
      <x:c r="T7" s="26" t="n">
        <x:v>-468.52432000000005</x:v>
      </x:c>
      <x:c r="U7" s="26" t="n">
        <x:v>-111.161337</x:v>
      </x:c>
      <x:c r="V7" t="str">
        <x:v>SMILES manual; revisar/canonicalizar com RDKit no grimperium_mini.</x:v>
      </x:c>
    </x:row>
    <x:row r="8">
      <x:c r="A8" t="str">
        <x:v>cbt_004</x:v>
      </x:c>
      <x:c r="B8" t="str">
        <x:v>Pentanoic acid</x:v>
      </x:c>
      <x:c r="C8" t="str">
        <x:v>CCCCC(=O)O</x:v>
      </x:c>
      <x:c r="D8" t="str">
        <x:v>C5H10O2</x:v>
      </x:c>
      <x:c r="E8" t="str">
        <x:v>Acids</x:v>
      </x:c>
      <x:c r="F8" t="n">
        <x:v>17</x:v>
      </x:c>
      <x:c r="G8" t="str">
        <x:v>PERRY</x:v>
      </x:c>
      <x:c r="H8" s="26" t="n">
        <x:v>-491.3</x:v>
      </x:c>
      <x:c r="I8" s="26" t="n">
        <x:v>-496.8</x:v>
      </x:c>
      <x:c r="J8" s="26" t="n">
        <x:v>-493.64300000000003</x:v>
      </x:c>
      <x:c r="K8" s="26" t="n">
        <x:v>-489.348</x:v>
      </x:c>
      <x:c r="L8" s="26" t="n">
        <x:v>-514.08942</x:v>
      </x:c>
      <x:c r="M8" s="26" t="n">
        <x:v>-490.54819</x:v>
      </x:c>
      <x:c r="N8" s="26" t="n">
        <x:v>-489.3534</x:v>
      </x:c>
      <x:c r="O8" s="26" t="n">
        <x:v>-487.6902</x:v>
      </x:c>
      <x:c r="P8" s="26" t="n">
        <x:v>1.9465999999999894</x:v>
      </x:c>
      <x:c r="Q8" s="26" t="str">
        <x:v>mol_01151</x:v>
      </x:c>
      <x:c r="R8" s="26" t="str">
        <x:v>OK</x:v>
      </x:c>
      <x:c r="S8" s="26" t="n">
        <x:v>-116.96</x:v>
      </x:c>
      <x:c r="T8" s="26" t="n">
        <x:v>-489.36064</x:v>
      </x:c>
      <x:c r="U8" s="26" t="n">
        <x:v>-115.302902</x:v>
      </x:c>
      <x:c r="V8" t="str">
        <x:v>SMILES manual; revisar/canonicalizar com RDKit no grimperium_mini.</x:v>
      </x:c>
    </x:row>
    <x:row r="9">
      <x:c r="A9" t="str">
        <x:v>cbt_005</x:v>
      </x:c>
      <x:c r="B9" t="str">
        <x:v>Hexanoic acid</x:v>
      </x:c>
      <x:c r="C9" t="str">
        <x:v>CCCCCC(=O)O</x:v>
      </x:c>
      <x:c r="D9" t="str">
        <x:v>C6H12O2</x:v>
      </x:c>
      <x:c r="E9" t="str">
        <x:v>Acids</x:v>
      </x:c>
      <x:c r="F9" t="n">
        <x:v>20</x:v>
      </x:c>
      <x:c r="G9" t="str">
        <x:v>PERRY</x:v>
      </x:c>
      <x:c r="H9" s="26" t="n">
        <x:v>-511.9</x:v>
      </x:c>
      <x:c r="I9" s="26" t="n">
        <x:v>-517.44</x:v>
      </x:c>
      <x:c r="J9" s="26" t="n">
        <x:v>-514.406</x:v>
      </x:c>
      <x:c r="K9" s="26" t="n">
        <x:v>-510.177</x:v>
      </x:c>
      <x:c r="L9" s="26" t="n">
        <x:v>-542.79065</x:v>
      </x:c>
      <x:c r="M9" s="26" t="n">
        <x:v>-513.24139</x:v>
      </x:c>
      <x:c r="N9" s="26" t="n">
        <x:v>-510.9457</x:v>
      </x:c>
      <x:c r="O9" s="26" t="n">
        <x:v>-508.62109</x:v>
      </x:c>
      <x:c r="P9" s="26" t="n">
        <x:v>0.9542999999999893</x:v>
      </x:c>
      <x:c r="Q9" s="26" t="str">
        <x:v>mol_01511</x:v>
      </x:c>
      <x:c r="R9" s="26" t="str">
        <x:v>OK</x:v>
      </x:c>
      <x:c r="S9" s="26" t="n">
        <x:v>-122.12</x:v>
      </x:c>
      <x:c r="T9" s="26" t="n">
        <x:v>-510.95008</x:v>
      </x:c>
      <x:c r="U9" s="26"/>
      <x:c r="V9" t="str">
        <x:v>SMILES manual; revisar/canonicalizar com RDKit no grimperium_mini.</x:v>
      </x:c>
    </x:row>
    <x:row r="10">
      <x:c r="A10" t="str">
        <x:v>cbt_006</x:v>
      </x:c>
      <x:c r="B10" t="str">
        <x:v>Heptanoic acid</x:v>
      </x:c>
      <x:c r="C10" t="str">
        <x:v>CCCCCCC(=O)O</x:v>
      </x:c>
      <x:c r="D10" t="str">
        <x:v>C7H14O2</x:v>
      </x:c>
      <x:c r="E10" t="str">
        <x:v>Acids</x:v>
      </x:c>
      <x:c r="F10" t="n">
        <x:v>23</x:v>
      </x:c>
      <x:c r="G10" t="str">
        <x:v>PERRY</x:v>
      </x:c>
      <x:c r="H10" s="26" t="n">
        <x:v>-536.2</x:v>
      </x:c>
      <x:c r="I10" s="26" t="n">
        <x:v>-538.08</x:v>
      </x:c>
      <x:c r="J10" s="26" t="n">
        <x:v>-535.169</x:v>
      </x:c>
      <x:c r="K10" s="26" t="n">
        <x:v>-531.0060000000001</x:v>
      </x:c>
      <x:c r="L10" s="26" t="n">
        <x:v>-571.46466</x:v>
      </x:c>
      <x:c r="M10" s="26" t="n">
        <x:v>-535.93561</x:v>
      </x:c>
      <x:c r="N10" s="26" t="n">
        <x:v>-532.2823</x:v>
      </x:c>
      <x:c r="O10" s="26" t="n">
        <x:v>-529.4829</x:v>
      </x:c>
      <x:c r="P10" s="26" t="n">
        <x:v>3.9177000000000817</x:v>
      </x:c>
      <x:c r="Q10" s="26" t="str">
        <x:v>mol_01999</x:v>
      </x:c>
      <x:c r="R10" s="26" t="str">
        <x:v>OK</x:v>
      </x:c>
      <x:c r="S10" s="26" t="n">
        <x:v>-127.22</x:v>
      </x:c>
      <x:c r="T10" s="26" t="n">
        <x:v>-532.28848</x:v>
      </x:c>
      <x:c r="U10" s="26"/>
      <x:c r="V10" t="str">
        <x:v>SMILES manual; revisar/canonicalizar com RDKit no grimperium_mini.</x:v>
      </x:c>
    </x:row>
    <x:row r="11">
      <x:c r="A11" t="str">
        <x:v>cbt_007</x:v>
      </x:c>
      <x:c r="B11" t="str">
        <x:v>Octanoic acid</x:v>
      </x:c>
      <x:c r="C11" t="str">
        <x:v>CCCCCCCC(=O)O</x:v>
      </x:c>
      <x:c r="D11" t="str">
        <x:v>C8H16O2</x:v>
      </x:c>
      <x:c r="E11" t="str">
        <x:v>Acids</x:v>
      </x:c>
      <x:c r="F11" t="n">
        <x:v>26</x:v>
      </x:c>
      <x:c r="G11" t="str">
        <x:v>PERRY</x:v>
      </x:c>
      <x:c r="H11" s="26" t="n">
        <x:v>-556</x:v>
      </x:c>
      <x:c r="I11" s="26" t="n">
        <x:v>-558.72</x:v>
      </x:c>
      <x:c r="J11" s="26" t="n">
        <x:v>-555.932</x:v>
      </x:c>
      <x:c r="K11" s="26" t="n">
        <x:v>-551.835</x:v>
      </x:c>
      <x:c r="L11" s="26" t="n">
        <x:v>-600.16472</x:v>
      </x:c>
      <x:c r="M11" s="26" t="n">
        <x:v>-558.65708</x:v>
      </x:c>
      <x:c r="N11" s="26" t="n">
        <x:v>-553.67659</x:v>
      </x:c>
      <x:c r="O11" s="26" t="n">
        <x:v>-550.37463</x:v>
      </x:c>
      <x:c r="P11" s="26" t="n">
        <x:v>2.323409999999967</x:v>
      </x:c>
      <x:c r="Q11" s="26" t="str">
        <x:v>mol_02526</x:v>
      </x:c>
      <x:c r="R11" s="26" t="str">
        <x:v>Pending</x:v>
      </x:c>
      <x:c r="S11" s="26"/>
      <x:c r="T11" s="26"/>
      <x:c r="U11" s="26"/>
      <x:c r="V11" t="str">
        <x:v>SMILES manual; revisar/canonicalizar com RDKit no grimperium_mini.</x:v>
      </x:c>
    </x:row>
    <x:row r="12">
      <x:c r="A12" t="str">
        <x:v>cbt_008</x:v>
      </x:c>
      <x:c r="B12" t="str">
        <x:v>Dodecanoic acid</x:v>
      </x:c>
      <x:c r="C12" t="str">
        <x:v>CCCCCCCCCCCC(=O)O</x:v>
      </x:c>
      <x:c r="D12" t="str">
        <x:v>C12H24O2</x:v>
      </x:c>
      <x:c r="E12" t="str">
        <x:v>Acids</x:v>
      </x:c>
      <x:c r="F12" t="n">
        <x:v>38</x:v>
      </x:c>
      <x:c r="G12" t="str">
        <x:v>CRC</x:v>
      </x:c>
      <x:c r="H12" s="26" t="n">
        <x:v>-642</x:v>
      </x:c>
      <x:c r="I12" s="26" t="n">
        <x:v>-641.2800000000001</x:v>
      </x:c>
      <x:c r="J12" s="26" t="n">
        <x:v>-638.984</x:v>
      </x:c>
      <x:c r="K12" s="26" t="n">
        <x:v>-635.1510000000001</x:v>
      </x:c>
      <x:c r="L12" s="26" t="n">
        <x:v>-711.97551</x:v>
      </x:c>
      <x:c r="M12" s="26" t="n">
        <x:v>-647.41071</x:v>
      </x:c>
      <x:c r="N12" s="26" t="n">
        <x:v>-636.75846</x:v>
      </x:c>
      <x:c r="O12" s="26" t="n">
        <x:v>-630.763</x:v>
      </x:c>
      <x:c r="P12" s="26" t="n">
        <x:v>5.241539999999986</x:v>
      </x:c>
      <x:c r="Q12" s="26" t="str">
        <x:v>mol_19014</x:v>
      </x:c>
      <x:c r="R12" s="26" t="str">
        <x:v>Pending</x:v>
      </x:c>
      <x:c r="S12" s="26"/>
      <x:c r="T12" s="26"/>
      <x:c r="U12" s="26"/>
      <x:c r="V12" t="str">
        <x:v>SMILES manual; revisar/canonicalizar com RDKit no grimperium_mini.</x:v>
      </x:c>
    </x:row>
    <x:row r="13">
      <x:c r="A13" t="str">
        <x:v>cbt_009</x:v>
      </x:c>
      <x:c r="B13" t="str">
        <x:v>Tetradecanoic acid</x:v>
      </x:c>
      <x:c r="C13" t="str">
        <x:v>CCCCCCCCCCCCCC(=O)O</x:v>
      </x:c>
      <x:c r="D13" t="str">
        <x:v>C14H28O2</x:v>
      </x:c>
      <x:c r="E13" t="str">
        <x:v>Acids</x:v>
      </x:c>
      <x:c r="F13" t="n">
        <x:v>44</x:v>
      </x:c>
      <x:c r="G13" t="str">
        <x:v>CRC</x:v>
      </x:c>
      <x:c r="H13" s="26" t="n">
        <x:v>-693.7</x:v>
      </x:c>
      <x:c r="I13" s="26" t="n">
        <x:v>-682.5600000000001</x:v>
      </x:c>
      <x:c r="J13" s="26" t="n">
        <x:v>-680.51</x:v>
      </x:c>
      <x:c r="K13" s="26" t="n">
        <x:v>-676.809</x:v>
      </x:c>
      <x:c r="L13" s="26" t="n">
        <x:v>-766.63135</x:v>
      </x:c>
      <x:c r="M13" s="26" t="n">
        <x:v>-693.91212</x:v>
      </x:c>
      <x:c r="N13" s="26" t="n">
        <x:v>-678.95566</x:v>
      </x:c>
      <x:c r="O13" s="26" t="n">
        <x:v>-669.06647</x:v>
      </x:c>
      <x:c r="P13" s="26" t="n">
        <x:v>14.74434000000008</x:v>
      </x:c>
      <x:c r="Q13" s="26" t="str"/>
      <x:c r="R13" s="26" t="str"/>
      <x:c r="S13" s="26"/>
      <x:c r="T13" s="26"/>
      <x:c r="U13" s="26"/>
      <x:c r="V13" t="str">
        <x:v>SMILES manual; revisar/canonicalizar com RDKit no grimperium_mini.</x:v>
      </x:c>
    </x:row>
    <x:row r="14">
      <x:c r="A14" t="str">
        <x:v>cbt_010</x:v>
      </x:c>
      <x:c r="B14" t="str">
        <x:v>Hexadecanoic acid</x:v>
      </x:c>
      <x:c r="C14" t="str">
        <x:v>CCCCCCCCCCCCCCCC(=O)O</x:v>
      </x:c>
      <x:c r="D14" t="str">
        <x:v>C16H32O2</x:v>
      </x:c>
      <x:c r="E14" t="str">
        <x:v>Acids</x:v>
      </x:c>
      <x:c r="F14" t="n">
        <x:v>50</x:v>
      </x:c>
      <x:c r="G14" t="str">
        <x:v>CRC</x:v>
      </x:c>
      <x:c r="H14" s="26" t="n">
        <x:v>-737.1</x:v>
      </x:c>
      <x:c r="I14" s="26" t="n">
        <x:v>-723.8400000000001</x:v>
      </x:c>
      <x:c r="J14" s="26" t="n">
        <x:v>-722.0360000000001</x:v>
      </x:c>
      <x:c r="K14" s="26" t="n">
        <x:v>-718.467</x:v>
      </x:c>
      <x:c r="L14" s="26" t="n">
        <x:v>-823.88158</x:v>
      </x:c>
      <x:c r="M14" s="26" t="n">
        <x:v>-737.15746</x:v>
      </x:c>
      <x:c r="N14" s="26" t="n">
        <x:v>-721.25162</x:v>
      </x:c>
      <x:c r="O14" s="26" t="n">
        <x:v>-711.74763</x:v>
      </x:c>
      <x:c r="P14" s="26" t="n">
        <x:v>15.84838000000002</x:v>
      </x:c>
      <x:c r="Q14" s="26" t="str">
        <x:v>mol_19005</x:v>
      </x:c>
      <x:c r="R14" s="26" t="str">
        <x:v>Pending</x:v>
      </x:c>
      <x:c r="S14" s="26"/>
      <x:c r="T14" s="26"/>
      <x:c r="U14" s="26"/>
      <x:c r="V14" t="str">
        <x:v>SMILES manual; revisar/canonicalizar com RDKit no grimperium_mini.</x:v>
      </x:c>
    </x:row>
    <x:row r="15">
      <x:c r="A15" t="str">
        <x:v>cbt_011</x:v>
      </x:c>
      <x:c r="B15" t="str">
        <x:v>Methanol</x:v>
      </x:c>
      <x:c r="C15" t="str">
        <x:v>CO</x:v>
      </x:c>
      <x:c r="D15" t="str">
        <x:v>CH4O</x:v>
      </x:c>
      <x:c r="E15" t="str">
        <x:v>Alcohols</x:v>
      </x:c>
      <x:c r="F15" t="n">
        <x:v>6</x:v>
      </x:c>
      <x:c r="G15" t="str">
        <x:v>PERRY</x:v>
      </x:c>
      <x:c r="H15" s="26" t="n">
        <x:v>-200.94</x:v>
      </x:c>
      <x:c r="I15" s="26" t="n">
        <x:v>-216.2</x:v>
      </x:c>
      <x:c r="J15" s="26" t="n">
        <x:v>-216.534</x:v>
      </x:c>
      <x:c r="K15" s="26" t="n">
        <x:v>-215.29</x:v>
      </x:c>
      <x:c r="L15" s="26" t="n">
        <x:v>-238.71117</x:v>
      </x:c>
      <x:c r="M15" s="26" t="n">
        <x:v>-217.14298</x:v>
      </x:c>
      <x:c r="N15" s="26" t="n">
        <x:v>-204.75825</x:v>
      </x:c>
      <x:c r="O15" s="26" t="n">
        <x:v>-209.73142</x:v>
      </x:c>
      <x:c r="P15" s="26" t="n">
        <x:v>3.818250000000006</x:v>
      </x:c>
      <x:c r="Q15" s="26" t="str">
        <x:v>mol_05665</x:v>
      </x:c>
      <x:c r="R15" s="26" t="str">
        <x:v>Pending</x:v>
      </x:c>
      <x:c r="S15" s="26"/>
      <x:c r="T15" s="26"/>
      <x:c r="U15" s="26"/>
      <x:c r="V15" t="str">
        <x:v>SMILES manual; revisar/canonicalizar com RDKit no grimperium_mini.</x:v>
      </x:c>
    </x:row>
    <x:row r="16">
      <x:c r="A16" t="str">
        <x:v>cbt_012</x:v>
      </x:c>
      <x:c r="B16" t="str">
        <x:v>Ethanol</x:v>
      </x:c>
      <x:c r="C16" t="str">
        <x:v>CCO</x:v>
      </x:c>
      <x:c r="D16" t="str">
        <x:v>C2H6O</x:v>
      </x:c>
      <x:c r="E16" t="str">
        <x:v>Alcohols</x:v>
      </x:c>
      <x:c r="F16" t="n">
        <x:v>9</x:v>
      </x:c>
      <x:c r="G16" t="str">
        <x:v>PERRY</x:v>
      </x:c>
      <x:c r="H16" s="26" t="n">
        <x:v>-234.95</x:v>
      </x:c>
      <x:c r="I16" s="26" t="n">
        <x:v>-236.83999999999997</x:v>
      </x:c>
      <x:c r="J16" s="26" t="n">
        <x:v>-237.297</x:v>
      </x:c>
      <x:c r="K16" s="26" t="n">
        <x:v>-236.119</x:v>
      </x:c>
      <x:c r="L16" s="26" t="n">
        <x:v>-268.83202</x:v>
      </x:c>
      <x:c r="M16" s="26" t="n">
        <x:v>-245.83769</x:v>
      </x:c>
      <x:c r="N16" s="26" t="n">
        <x:v>-242.07799</x:v>
      </x:c>
      <x:c r="O16" s="26" t="n">
        <x:v>-241.44176</x:v>
      </x:c>
      <x:c r="P16" s="26" t="n">
        <x:v>7.127990000000011</x:v>
      </x:c>
      <x:c r="Q16" s="26" t="str">
        <x:v>mol_05309</x:v>
      </x:c>
      <x:c r="R16" s="26" t="str">
        <x:v>Pending</x:v>
      </x:c>
      <x:c r="S16" s="26"/>
      <x:c r="T16" s="26"/>
      <x:c r="U16" s="26"/>
      <x:c r="V16" t="str">
        <x:v>SMILES manual; revisar/canonicalizar com RDKit no grimperium_mini.</x:v>
      </x:c>
    </x:row>
    <x:row r="17">
      <x:c r="A17" t="str">
        <x:v>cbt_013</x:v>
      </x:c>
      <x:c r="B17" t="str">
        <x:v>Glycerol</x:v>
      </x:c>
      <x:c r="C17" t="str">
        <x:v>C(C(CO)O)O</x:v>
      </x:c>
      <x:c r="D17" t="str">
        <x:v>C3H8O</x:v>
      </x:c>
      <x:c r="E17" t="str">
        <x:v>Alcohols</x:v>
      </x:c>
      <x:c r="F17" t="n">
        <x:v>12</x:v>
      </x:c>
      <x:c r="G17" t="str">
        <x:v>PERRY</x:v>
      </x:c>
      <x:c r="H17" s="26" t="n">
        <x:v>-577.9</x:v>
      </x:c>
      <x:c r="I17" s="26" t="n">
        <x:v>-567.22</x:v>
      </x:c>
      <x:c r="J17" s="26" t="n">
        <x:v>-582.6099999999999</x:v>
      </x:c>
      <x:c r="K17" s="26" t="n">
        <x:v>-582.7330000000001</x:v>
      </x:c>
      <x:c r="L17" s="26" t="n">
        <x:v>-665.40715</x:v>
      </x:c>
      <x:c r="M17" s="26" t="n">
        <x:v>-589.19924</x:v>
      </x:c>
      <x:c r="N17" s="26" t="n">
        <x:v>-588.45026</x:v>
      </x:c>
      <x:c r="O17" s="26" t="n">
        <x:v>-595.40912</x:v>
      </x:c>
      <x:c r="P17" s="26" t="n">
        <x:v>10.55025999999998</x:v>
      </x:c>
      <x:c r="Q17" s="26" t="str"/>
      <x:c r="R17" s="26" t="str"/>
      <x:c r="S17" s="26"/>
      <x:c r="T17" s="26"/>
      <x:c r="U17" s="26"/>
      <x:c r="V17" t="str">
        <x:v>SMILES manual; revisar/canonicalizar com RDKit no grimperium_mini.</x:v>
      </x:c>
    </x:row>
    <x:row r="18">
      <x:c r="A18" t="str">
        <x:v>cbt_014</x:v>
      </x:c>
      <x:c r="B18" t="str">
        <x:v>Propanol</x:v>
      </x:c>
      <x:c r="C18" t="str">
        <x:v>CCCO</x:v>
      </x:c>
      <x:c r="D18" t="str">
        <x:v>C3H8O</x:v>
      </x:c>
      <x:c r="E18" t="str">
        <x:v>Alcohols</x:v>
      </x:c>
      <x:c r="F18" t="n">
        <x:v>12</x:v>
      </x:c>
      <x:c r="G18" t="str">
        <x:v>PERRY</x:v>
      </x:c>
      <x:c r="H18" s="26" t="n">
        <x:v>-254.6</x:v>
      </x:c>
      <x:c r="I18" s="26" t="n">
        <x:v>-257.47999999999996</x:v>
      </x:c>
      <x:c r="J18" s="26" t="n">
        <x:v>-258.06</x:v>
      </x:c>
      <x:c r="K18" s="26" t="n">
        <x:v>-256.94800000000004</x:v>
      </x:c>
      <x:c r="L18" s="26" t="n">
        <x:v>-297.83885</x:v>
      </x:c>
      <x:c r="M18" s="26" t="n">
        <x:v>-268.20436</x:v>
      </x:c>
      <x:c r="N18" s="26" t="n">
        <x:v>-262.4848</x:v>
      </x:c>
      <x:c r="O18" s="26" t="n">
        <x:v>-262.4955</x:v>
      </x:c>
      <x:c r="P18" s="26" t="n">
        <x:v>7.884800000000013</x:v>
      </x:c>
      <x:c r="Q18" s="26" t="str">
        <x:v>mol_05320</x:v>
      </x:c>
      <x:c r="R18" s="26" t="str">
        <x:v>Pending</x:v>
      </x:c>
      <x:c r="S18" s="26"/>
      <x:c r="T18" s="26"/>
      <x:c r="U18" s="26"/>
      <x:c r="V18" t="str">
        <x:v>SMILES manual; revisar/canonicalizar com RDKit no grimperium_mini.</x:v>
      </x:c>
    </x:row>
    <x:row r="19">
      <x:c r="A19" t="str">
        <x:v>cbt_015</x:v>
      </x:c>
      <x:c r="B19" t="str">
        <x:v>Butanol</x:v>
      </x:c>
      <x:c r="C19" t="str">
        <x:v>CCCCO</x:v>
      </x:c>
      <x:c r="D19" t="str">
        <x:v>C4H10O</x:v>
      </x:c>
      <x:c r="E19" t="str">
        <x:v>Alcohols</x:v>
      </x:c>
      <x:c r="F19" t="n">
        <x:v>15</x:v>
      </x:c>
      <x:c r="G19" t="str">
        <x:v>PERRY</x:v>
      </x:c>
      <x:c r="H19" s="26" t="n">
        <x:v>-275.1</x:v>
      </x:c>
      <x:c r="I19" s="26" t="n">
        <x:v>-278.11999999999995</x:v>
      </x:c>
      <x:c r="J19" s="26" t="n">
        <x:v>-278.82300000000004</x:v>
      </x:c>
      <x:c r="K19" s="26" t="n">
        <x:v>-277.77700000000004</x:v>
      </x:c>
      <x:c r="L19" s="26" t="n">
        <x:v>-326.4243</x:v>
      </x:c>
      <x:c r="M19" s="26" t="n">
        <x:v>-290.86926</x:v>
      </x:c>
      <x:c r="N19" s="26" t="n">
        <x:v>-283.15306</x:v>
      </x:c>
      <x:c r="O19" s="26" t="n">
        <x:v>-283.30645</x:v>
      </x:c>
      <x:c r="P19" s="26" t="n">
        <x:v>8.05305999999996</x:v>
      </x:c>
      <x:c r="Q19" s="26" t="str">
        <x:v>mol_05337</x:v>
      </x:c>
      <x:c r="R19" s="26" t="str">
        <x:v>Pending</x:v>
      </x:c>
      <x:c r="S19" s="26"/>
      <x:c r="T19" s="26"/>
      <x:c r="U19" s="26"/>
      <x:c r="V19" t="str">
        <x:v>SMILES manual; revisar/canonicalizar com RDKit no grimperium_mini.</x:v>
      </x:c>
    </x:row>
    <x:row r="20">
      <x:c r="A20" t="str">
        <x:v>cbt_016</x:v>
      </x:c>
      <x:c r="B20" t="str">
        <x:v>Pentanol</x:v>
      </x:c>
      <x:c r="C20" t="str">
        <x:v>CCCCCO</x:v>
      </x:c>
      <x:c r="D20" t="str">
        <x:v>C5H12O</x:v>
      </x:c>
      <x:c r="E20" t="str">
        <x:v>Alcohols</x:v>
      </x:c>
      <x:c r="F20" t="n">
        <x:v>18</x:v>
      </x:c>
      <x:c r="G20" t="str">
        <x:v>PERRY</x:v>
      </x:c>
      <x:c r="H20" s="26" t="n">
        <x:v>-295.7</x:v>
      </x:c>
      <x:c r="I20" s="26" t="n">
        <x:v>-298.75999999999993</x:v>
      </x:c>
      <x:c r="J20" s="26" t="n">
        <x:v>-299.58600000000007</x:v>
      </x:c>
      <x:c r="K20" s="26" t="n">
        <x:v>-298.60600000000005</x:v>
      </x:c>
      <x:c r="L20" s="26" t="n">
        <x:v>-355.12297</x:v>
      </x:c>
      <x:c r="M20" s="26" t="n">
        <x:v>-313.57749</x:v>
      </x:c>
      <x:c r="N20" s="26" t="n">
        <x:v>-304.42055</x:v>
      </x:c>
      <x:c r="O20" s="26" t="n">
        <x:v>-304.22328</x:v>
      </x:c>
      <x:c r="P20" s="26" t="n">
        <x:v>8.720550000000003</x:v>
      </x:c>
      <x:c r="Q20" s="26" t="str">
        <x:v>mol_05538</x:v>
      </x:c>
      <x:c r="R20" s="26" t="str">
        <x:v>Pending</x:v>
      </x:c>
      <x:c r="S20" s="26"/>
      <x:c r="T20" s="26"/>
      <x:c r="U20" s="26"/>
      <x:c r="V20" t="str">
        <x:v>SMILES manual; revisar/canonicalizar com RDKit no grimperium_mini.</x:v>
      </x:c>
    </x:row>
    <x:row r="21">
      <x:c r="A21" t="str">
        <x:v>cbt_017</x:v>
      </x:c>
      <x:c r="B21" t="str">
        <x:v>Hexanol</x:v>
      </x:c>
      <x:c r="C21" t="str">
        <x:v>CCCCCCO</x:v>
      </x:c>
      <x:c r="D21" t="str">
        <x:v>C6H14O</x:v>
      </x:c>
      <x:c r="E21" t="str">
        <x:v>Alcohols</x:v>
      </x:c>
      <x:c r="F21" t="n">
        <x:v>21</x:v>
      </x:c>
      <x:c r="G21" t="str">
        <x:v>PERRY</x:v>
      </x:c>
      <x:c r="H21" s="26" t="n">
        <x:v>-316.2</x:v>
      </x:c>
      <x:c r="I21" s="26" t="n">
        <x:v>-319.4</x:v>
      </x:c>
      <x:c r="J21" s="26" t="n">
        <x:v>-320.349</x:v>
      </x:c>
      <x:c r="K21" s="26" t="n">
        <x:v>-319.43500000000006</x:v>
      </x:c>
      <x:c r="L21" s="26" t="n">
        <x:v>-383.81376</x:v>
      </x:c>
      <x:c r="M21" s="26" t="n">
        <x:v>-336.29314</x:v>
      </x:c>
      <x:c r="N21" s="26" t="n">
        <x:v>-325.86172</x:v>
      </x:c>
      <x:c r="O21" s="26" t="n">
        <x:v>-325.10002</x:v>
      </x:c>
      <x:c r="P21" s="26" t="n">
        <x:v>9.661720000000003</x:v>
      </x:c>
      <x:c r="Q21" s="26" t="str">
        <x:v>mol_05437</x:v>
      </x:c>
      <x:c r="R21" s="26" t="str">
        <x:v>Pending</x:v>
      </x:c>
      <x:c r="S21" s="26"/>
      <x:c r="T21" s="26"/>
      <x:c r="U21" s="26"/>
      <x:c r="V21" t="str">
        <x:v>SMILES manual; revisar/canonicalizar com RDKit no grimperium_mini.</x:v>
      </x:c>
    </x:row>
    <x:row r="22">
      <x:c r="A22" t="str">
        <x:v>cbt_018</x:v>
      </x:c>
      <x:c r="B22" t="str">
        <x:v>Heptanol</x:v>
      </x:c>
      <x:c r="C22" t="str">
        <x:v>CCCCCCCO</x:v>
      </x:c>
      <x:c r="D22" t="str">
        <x:v>C7H16O</x:v>
      </x:c>
      <x:c r="E22" t="str">
        <x:v>Alcohols</x:v>
      </x:c>
      <x:c r="F22" t="n">
        <x:v>24</x:v>
      </x:c>
      <x:c r="G22" t="str">
        <x:v>PERRY</x:v>
      </x:c>
      <x:c r="H22" s="26" t="n">
        <x:v>-336.8</x:v>
      </x:c>
      <x:c r="I22" s="26" t="n">
        <x:v>-340.04</x:v>
      </x:c>
      <x:c r="J22" s="26" t="n">
        <x:v>-341.112</x:v>
      </x:c>
      <x:c r="K22" s="26" t="n">
        <x:v>-340.264</x:v>
      </x:c>
      <x:c r="L22" s="26" t="n">
        <x:v>-412.51169</x:v>
      </x:c>
      <x:c r="M22" s="26" t="n">
        <x:v>-359.01738</x:v>
      </x:c>
      <x:c r="N22" s="26" t="n">
        <x:v>-347.16037</x:v>
      </x:c>
      <x:c r="O22" s="26" t="n">
        <x:v>-345.98604</x:v>
      </x:c>
      <x:c r="P22" s="26" t="n">
        <x:v>10.360369999999989</x:v>
      </x:c>
      <x:c r="Q22" s="26" t="str">
        <x:v>mol_05573</x:v>
      </x:c>
      <x:c r="R22" s="26" t="str">
        <x:v>Pending</x:v>
      </x:c>
      <x:c r="S22" s="26"/>
      <x:c r="T22" s="26"/>
      <x:c r="U22" s="26"/>
      <x:c r="V22" t="str">
        <x:v>SMILES manual; revisar/canonicalizar com RDKit no grimperium_mini.</x:v>
      </x:c>
    </x:row>
    <x:row r="23">
      <x:c r="A23" t="str">
        <x:v>cbt_019</x:v>
      </x:c>
      <x:c r="B23" t="str">
        <x:v>Octanol</x:v>
      </x:c>
      <x:c r="C23" t="str">
        <x:v>CCCCCCCCO</x:v>
      </x:c>
      <x:c r="D23" t="str">
        <x:v>C8H18O</x:v>
      </x:c>
      <x:c r="E23" t="str">
        <x:v>Alcohols</x:v>
      </x:c>
      <x:c r="F23" t="n">
        <x:v>27</x:v>
      </x:c>
      <x:c r="G23" t="str">
        <x:v>PERRY</x:v>
      </x:c>
      <x:c r="H23" s="26" t="n">
        <x:v>-357.3</x:v>
      </x:c>
      <x:c r="I23" s="26" t="n">
        <x:v>-360.68</x:v>
      </x:c>
      <x:c r="J23" s="26" t="n">
        <x:v>-361.87500000000006</x:v>
      </x:c>
      <x:c r="K23" s="26" t="n">
        <x:v>-361.093</x:v>
      </x:c>
      <x:c r="L23" s="26" t="n">
        <x:v>-441.21152</x:v>
      </x:c>
      <x:c r="M23" s="26" t="n">
        <x:v>-381.74613</x:v>
      </x:c>
      <x:c r="N23" s="26" t="n">
        <x:v>-368.4913</x:v>
      </x:c>
      <x:c r="O23" s="26" t="n">
        <x:v>-366.87266</x:v>
      </x:c>
      <x:c r="P23" s="26" t="n">
        <x:v>11.191300000000012</x:v>
      </x:c>
      <x:c r="Q23" s="26" t="str"/>
      <x:c r="R23" s="26" t="str"/>
      <x:c r="S23" s="26"/>
      <x:c r="T23" s="26"/>
      <x:c r="U23" s="26"/>
      <x:c r="V23" t="str">
        <x:v>SMILES manual; revisar/canonicalizar com RDKit no grimperium_mini.</x:v>
      </x:c>
    </x:row>
    <x:row r="24">
      <x:c r="A24" t="str">
        <x:v>cbt_020</x:v>
      </x:c>
      <x:c r="B24" t="str">
        <x:v>Methyl acetate</x:v>
      </x:c>
      <x:c r="C24" t="str">
        <x:v>CC(=O)OC</x:v>
      </x:c>
      <x:c r="D24" t="str">
        <x:v>C3H6O2</x:v>
      </x:c>
      <x:c r="E24" t="str">
        <x:v>Esters</x:v>
      </x:c>
      <x:c r="F24" t="n">
        <x:v>11</x:v>
      </x:c>
      <x:c r="G24" t="str">
        <x:v>PERRY</x:v>
      </x:c>
      <x:c r="H24" s="26" t="n">
        <x:v>-411.9</x:v>
      </x:c>
      <x:c r="I24" s="26" t="n">
        <x:v>-422.53000000000003</x:v>
      </x:c>
      <x:c r="J24" s="26" t="n">
        <x:v>-424.84900000000005</x:v>
      </x:c>
      <x:c r="K24" s="26" t="n">
        <x:v>-424.38800000000003</x:v>
      </x:c>
      <x:c r="L24" s="26" t="n">
        <x:v>-403.84293</x:v>
      </x:c>
      <x:c r="M24" s="26" t="n">
        <x:v>-393.95409</x:v>
      </x:c>
      <x:c r="N24" s="26" t="n">
        <x:v>-405.05317</x:v>
      </x:c>
      <x:c r="O24" s="26" t="n">
        <x:v>-394.69533</x:v>
      </x:c>
      <x:c r="P24" s="26" t="n">
        <x:v>6.8468299999999545</x:v>
      </x:c>
      <x:c r="Q24" s="26" t="str"/>
      <x:c r="R24" s="26" t="str"/>
      <x:c r="S24" s="26"/>
      <x:c r="T24" s="26"/>
      <x:c r="U24" s="26"/>
      <x:c r="V24" t="str">
        <x:v>SMILES manual; revisar/canonicalizar com RDKit no grimperium_mini.</x:v>
      </x:c>
    </x:row>
    <x:row r="25">
      <x:c r="A25" t="str">
        <x:v>cbt_021</x:v>
      </x:c>
      <x:c r="B25" t="str">
        <x:v>Methyl propionate</x:v>
      </x:c>
      <x:c r="C25" t="str">
        <x:v>CCC(=O)OC</x:v>
      </x:c>
      <x:c r="D25" t="str">
        <x:v>C4H8O2</x:v>
      </x:c>
      <x:c r="E25" t="str">
        <x:v>Esters</x:v>
      </x:c>
      <x:c r="F25" t="n">
        <x:v>14</x:v>
      </x:c>
      <x:c r="G25" t="str">
        <x:v>PERRY</x:v>
      </x:c>
      <x:c r="H25" s="26" t="n">
        <x:v>-427.5</x:v>
      </x:c>
      <x:c r="I25" s="26" t="n">
        <x:v>-443.17</x:v>
      </x:c>
      <x:c r="J25" s="26" t="n">
        <x:v>-440.317</x:v>
      </x:c>
      <x:c r="K25" s="26" t="n">
        <x:v>-443.61300000000006</x:v>
      </x:c>
      <x:c r="L25" s="26" t="n">
        <x:v>-429.22249</x:v>
      </x:c>
      <x:c r="M25" s="26" t="n">
        <x:v>-412.3485</x:v>
      </x:c>
      <x:c r="N25" s="26" t="n">
        <x:v>-423.65167</x:v>
      </x:c>
      <x:c r="O25" s="26" t="n">
        <x:v>-414.26053</x:v>
      </x:c>
      <x:c r="P25" s="26" t="n">
        <x:v>3.848329999999976</x:v>
      </x:c>
      <x:c r="Q25" s="26" t="str">
        <x:v>mol_03435</x:v>
      </x:c>
      <x:c r="R25" s="26" t="str">
        <x:v>Pending</x:v>
      </x:c>
      <x:c r="S25" s="26"/>
      <x:c r="T25" s="26"/>
      <x:c r="U25" s="26"/>
      <x:c r="V25" t="str">
        <x:v>SMILES manual; revisar/canonicalizar com RDKit no grimperium_mini.</x:v>
      </x:c>
    </x:row>
    <x:row r="26">
      <x:c r="A26" t="str">
        <x:v>cbt_022</x:v>
      </x:c>
      <x:c r="B26" t="str">
        <x:v>Methyl butyrate</x:v>
      </x:c>
      <x:c r="C26" t="str">
        <x:v>CCCC(=O)OC</x:v>
      </x:c>
      <x:c r="D26" t="str">
        <x:v>C5H10O2</x:v>
      </x:c>
      <x:c r="E26" t="str">
        <x:v>Esters</x:v>
      </x:c>
      <x:c r="F26" t="n">
        <x:v>17</x:v>
      </x:c>
      <x:c r="G26" t="str">
        <x:v>PERRY</x:v>
      </x:c>
      <x:c r="H26" s="26" t="n">
        <x:v>-450.7</x:v>
      </x:c>
      <x:c r="I26" s="26" t="n">
        <x:v>-463.81</x:v>
      </x:c>
      <x:c r="J26" s="26" t="n">
        <x:v>-461.08</x:v>
      </x:c>
      <x:c r="K26" s="26" t="n">
        <x:v>-464.442</x:v>
      </x:c>
      <x:c r="L26" s="26" t="n">
        <x:v>-458.04864</x:v>
      </x:c>
      <x:c r="M26" s="26" t="n">
        <x:v>-434.98867</x:v>
      </x:c>
      <x:c r="N26" s="26" t="n">
        <x:v>-445.40576</x:v>
      </x:c>
      <x:c r="O26" s="26" t="n">
        <x:v>-435.46894</x:v>
      </x:c>
      <x:c r="P26" s="26" t="n">
        <x:v>5.294240000000002</x:v>
      </x:c>
      <x:c r="Q26" s="26" t="str">
        <x:v>mol_03513</x:v>
      </x:c>
      <x:c r="R26" s="26" t="str">
        <x:v>Pending</x:v>
      </x:c>
      <x:c r="S26" s="26"/>
      <x:c r="T26" s="26"/>
      <x:c r="U26" s="26"/>
      <x:c r="V26" t="str">
        <x:v>SMILES manual; revisar/canonicalizar com RDKit no grimperium_mini.</x:v>
      </x:c>
    </x:row>
    <x:row r="27">
      <x:c r="A27" t="str">
        <x:v>cbt_023</x:v>
      </x:c>
      <x:c r="B27" t="str">
        <x:v>Methyl pentanoate</x:v>
      </x:c>
      <x:c r="C27" t="str">
        <x:v>CCCCC(=O)OC</x:v>
      </x:c>
      <x:c r="D27" t="str">
        <x:v>C6H12O2</x:v>
      </x:c>
      <x:c r="E27" t="str">
        <x:v>Esters</x:v>
      </x:c>
      <x:c r="F27" t="n">
        <x:v>20</x:v>
      </x:c>
      <x:c r="G27" t="str">
        <x:v>CRC</x:v>
      </x:c>
      <x:c r="H27" s="26" t="n">
        <x:v>-471.1</x:v>
      </x:c>
      <x:c r="I27" s="26" t="n">
        <x:v>-484.45</x:v>
      </x:c>
      <x:c r="J27" s="26" t="n">
        <x:v>-481.843</x:v>
      </x:c>
      <x:c r="K27" s="26" t="n">
        <x:v>-485.271</x:v>
      </x:c>
      <x:c r="L27" s="26" t="n">
        <x:v>-486.59503</x:v>
      </x:c>
      <x:c r="M27" s="26" t="n">
        <x:v>-457.58244</x:v>
      </x:c>
      <x:c r="N27" s="26" t="n">
        <x:v>-466.21327</x:v>
      </x:c>
      <x:c r="O27" s="26" t="n">
        <x:v>-455.88914</x:v>
      </x:c>
      <x:c r="P27" s="26" t="n">
        <x:v>4.88673</x:v>
      </x:c>
      <x:c r="Q27" s="26" t="str">
        <x:v>mol_03606</x:v>
      </x:c>
      <x:c r="R27" s="26" t="str">
        <x:v>Pending</x:v>
      </x:c>
      <x:c r="S27" s="26"/>
      <x:c r="T27" s="26"/>
      <x:c r="U27" s="26"/>
      <x:c r="V27" t="str">
        <x:v>SMILES manual; revisar/canonicalizar com RDKit no grimperium_mini.</x:v>
      </x:c>
    </x:row>
    <x:row r="28">
      <x:c r="A28" t="str">
        <x:v>cbt_024</x:v>
      </x:c>
      <x:c r="B28" t="str">
        <x:v>Methyl hexanoate</x:v>
      </x:c>
      <x:c r="C28" t="str">
        <x:v>CCCCCC(=O)OC</x:v>
      </x:c>
      <x:c r="D28" t="str">
        <x:v>C7H14O2</x:v>
      </x:c>
      <x:c r="E28" t="str">
        <x:v>Esters</x:v>
      </x:c>
      <x:c r="F28" t="n">
        <x:v>23</x:v>
      </x:c>
      <x:c r="G28" t="str">
        <x:v>CRC</x:v>
      </x:c>
      <x:c r="H28" s="26" t="n">
        <x:v>-492.2</x:v>
      </x:c>
      <x:c r="I28" s="26" t="n">
        <x:v>-505.09</x:v>
      </x:c>
      <x:c r="J28" s="26" t="n">
        <x:v>-502.60600000000005</x:v>
      </x:c>
      <x:c r="K28" s="26" t="n">
        <x:v>-506.1</x:v>
      </x:c>
      <x:c r="L28" s="26" t="n">
        <x:v>-515.29703</x:v>
      </x:c>
      <x:c r="M28" s="26" t="n">
        <x:v>-480.27905</x:v>
      </x:c>
      <x:c r="N28" s="26" t="n">
        <x:v>-487.81117</x:v>
      </x:c>
      <x:c r="O28" s="26" t="n">
        <x:v>-477.20211</x:v>
      </x:c>
      <x:c r="P28" s="26" t="n">
        <x:v>4.3888299999999845</x:v>
      </x:c>
      <x:c r="Q28" s="26" t="str">
        <x:v>mol_04136</x:v>
      </x:c>
      <x:c r="R28" s="26" t="str">
        <x:v>Pending</x:v>
      </x:c>
      <x:c r="S28" s="26"/>
      <x:c r="T28" s="26"/>
      <x:c r="U28" s="26"/>
      <x:c r="V28" t="str">
        <x:v>SMILES manual; revisar/canonicalizar com RDKit no grimperium_mini.</x:v>
      </x:c>
    </x:row>
    <x:row r="29">
      <x:c r="A29" t="str">
        <x:v>cbt_025</x:v>
      </x:c>
      <x:c r="B29" t="str">
        <x:v>Methyl heptanoate</x:v>
      </x:c>
      <x:c r="C29" t="str">
        <x:v>CCCCCCC(=O)OC</x:v>
      </x:c>
      <x:c r="D29" t="str">
        <x:v>C8H16O2</x:v>
      </x:c>
      <x:c r="E29" t="str">
        <x:v>Esters</x:v>
      </x:c>
      <x:c r="F29" t="n">
        <x:v>26</x:v>
      </x:c>
      <x:c r="G29" t="str">
        <x:v>CRC</x:v>
      </x:c>
      <x:c r="H29" s="26" t="n">
        <x:v>-515.5</x:v>
      </x:c>
      <x:c r="I29" s="26" t="n">
        <x:v>-525.73</x:v>
      </x:c>
      <x:c r="J29" s="26" t="n">
        <x:v>-523.3689999999999</x:v>
      </x:c>
      <x:c r="K29" s="26" t="n">
        <x:v>-526.9290000000001</x:v>
      </x:c>
      <x:c r="L29" s="26" t="n">
        <x:v>-543.97305</x:v>
      </x:c>
      <x:c r="M29" s="26" t="n">
        <x:v>-502.97559</x:v>
      </x:c>
      <x:c r="N29" s="26" t="n">
        <x:v>-509.13106</x:v>
      </x:c>
      <x:c r="O29" s="26" t="n">
        <x:v>-498.07198</x:v>
      </x:c>
      <x:c r="P29" s="26" t="n">
        <x:v>6.368940000000009</x:v>
      </x:c>
      <x:c r="Q29" s="26" t="str">
        <x:v>mol_04742</x:v>
      </x:c>
      <x:c r="R29" s="26" t="str">
        <x:v>Pending</x:v>
      </x:c>
      <x:c r="S29" s="26"/>
      <x:c r="T29" s="26"/>
      <x:c r="U29" s="26"/>
      <x:c r="V29" t="str">
        <x:v>SMILES manual; revisar/canonicalizar com RDKit no grimperium_mini.</x:v>
      </x:c>
    </x:row>
    <x:row r="30">
      <x:c r="A30" t="str">
        <x:v>cbt_026</x:v>
      </x:c>
      <x:c r="B30" t="str">
        <x:v>Methyl octanoate</x:v>
      </x:c>
      <x:c r="C30" t="str">
        <x:v>CCCCCCCC(=O)OC</x:v>
      </x:c>
      <x:c r="D30" t="str">
        <x:v>C9H18O2</x:v>
      </x:c>
      <x:c r="E30" t="str">
        <x:v>Esters</x:v>
      </x:c>
      <x:c r="F30" t="n">
        <x:v>29</x:v>
      </x:c>
      <x:c r="G30" t="str">
        <x:v>CRC</x:v>
      </x:c>
      <x:c r="H30" s="26" t="n">
        <x:v>-533.9</x:v>
      </x:c>
      <x:c r="I30" s="26" t="n">
        <x:v>-546.3700000000001</x:v>
      </x:c>
      <x:c r="J30" s="26" t="n">
        <x:v>-544.132</x:v>
      </x:c>
      <x:c r="K30" s="26" t="n">
        <x:v>-547.758</x:v>
      </x:c>
      <x:c r="L30" s="26" t="n">
        <x:v>-572.67115</x:v>
      </x:c>
      <x:c r="M30" s="26" t="n">
        <x:v>-525.69852</x:v>
      </x:c>
      <x:c r="N30" s="26" t="n">
        <x:v>-530.5573</x:v>
      </x:c>
      <x:c r="O30" s="26" t="n">
        <x:v>-518.94753</x:v>
      </x:c>
      <x:c r="P30" s="26" t="n">
        <x:v>3.3426999999999225</x:v>
      </x:c>
      <x:c r="Q30" s="26" t="str"/>
      <x:c r="R30" s="26" t="str"/>
      <x:c r="S30" s="26"/>
      <x:c r="T30" s="26"/>
      <x:c r="U30" s="26"/>
      <x:c r="V30" t="str">
        <x:v>SMILES manual; revisar/canonicalizar com RDKit no grimperium_mini.</x:v>
      </x:c>
    </x:row>
    <x:row r="31">
      <x:c r="A31" t="str">
        <x:v>cbt_027</x:v>
      </x:c>
      <x:c r="B31" t="str">
        <x:v>Methyl Dodecanoate</x:v>
      </x:c>
      <x:c r="C31" t="str">
        <x:v>CCCCCCCCCCCC(=O)OC</x:v>
      </x:c>
      <x:c r="D31" t="str">
        <x:v>C13H26O2</x:v>
      </x:c>
      <x:c r="E31" t="str">
        <x:v>Esters</x:v>
      </x:c>
      <x:c r="F31" t="n">
        <x:v>41</x:v>
      </x:c>
      <x:c r="G31" t="str">
        <x:v>CRC</x:v>
      </x:c>
      <x:c r="H31" s="26" t="n">
        <x:v>-617.9</x:v>
      </x:c>
      <x:c r="I31" s="26" t="n">
        <x:v>-628.9300000000001</x:v>
      </x:c>
      <x:c r="J31" s="26" t="n">
        <x:v>-627.184</x:v>
      </x:c>
      <x:c r="K31" s="26" t="n">
        <x:v>-631.0740000000001</x:v>
      </x:c>
      <x:c r="L31" s="26" t="n">
        <x:v>-687.47505</x:v>
      </x:c>
      <x:c r="M31" s="26" t="n">
        <x:v>-616.61431</x:v>
      </x:c>
      <x:c r="N31" s="26" t="n">
        <x:v>-615.92062</x:v>
      </x:c>
      <x:c r="O31" s="26" t="n">
        <x:v>-602.49831</x:v>
      </x:c>
      <x:c r="P31" s="26" t="n">
        <x:v>1.979379999999992</x:v>
      </x:c>
      <x:c r="Q31" s="26" t="str">
        <x:v>mol_19010</x:v>
      </x:c>
      <x:c r="R31" s="26" t="str">
        <x:v>Pending</x:v>
      </x:c>
      <x:c r="S31" s="26"/>
      <x:c r="T31" s="26"/>
      <x:c r="U31" s="26"/>
      <x:c r="V31" t="str">
        <x:v>SMILES manual; revisar/canonicalizar com RDKit no grimperium_mini.</x:v>
      </x:c>
    </x:row>
    <x:row r="32">
      <x:c r="A32" t="str">
        <x:v>cbt_028</x:v>
      </x:c>
      <x:c r="B32" t="str">
        <x:v>Methyl Tetradecanoate</x:v>
      </x:c>
      <x:c r="C32" t="str">
        <x:v>CCCCCCCCCCCCCC(=O)OC</x:v>
      </x:c>
      <x:c r="D32" t="str">
        <x:v>C15H30O2</x:v>
      </x:c>
      <x:c r="E32" t="str">
        <x:v>Esters</x:v>
      </x:c>
      <x:c r="F32" t="n">
        <x:v>47</x:v>
      </x:c>
      <x:c r="G32" t="str">
        <x:v>CRC</x:v>
      </x:c>
      <x:c r="H32" s="26" t="n">
        <x:v>-656.9</x:v>
      </x:c>
      <x:c r="I32" s="26" t="n">
        <x:v>-670.21</x:v>
      </x:c>
      <x:c r="J32" s="26" t="n">
        <x:v>-668.71</x:v>
      </x:c>
      <x:c r="K32" s="26" t="n">
        <x:v>-672.732</x:v>
      </x:c>
      <x:c r="L32" s="26" t="n">
        <x:v>-739.06414</x:v>
      </x:c>
      <x:c r="M32" s="26" t="n">
        <x:v>-658.6227</x:v>
      </x:c>
      <x:c r="N32" s="26" t="n">
        <x:v>-656.87245</x:v>
      </x:c>
      <x:c r="O32" s="26" t="n">
        <x:v>-640.24608</x:v>
      </x:c>
      <x:c r="P32" s="26" t="n">
        <x:v>0.02755000000001928</x:v>
      </x:c>
      <x:c r="Q32" s="26" t="str"/>
      <x:c r="R32" s="26" t="str"/>
      <x:c r="S32" s="26"/>
      <x:c r="T32" s="26"/>
      <x:c r="U32" s="26"/>
      <x:c r="V32" t="str">
        <x:v>SMILES manual; revisar/canonicalizar com RDKit no grimperium_mini.</x:v>
      </x:c>
    </x:row>
    <x:row r="33">
      <x:c r="A33" t="str">
        <x:v>cbt_029</x:v>
      </x:c>
      <x:c r="B33" t="str">
        <x:v>Methyl Hexadecanoate</x:v>
      </x:c>
      <x:c r="C33" t="str">
        <x:v>CCCCCCCCCCCCCCCC(=O)OC</x:v>
      </x:c>
      <x:c r="D33" t="str">
        <x:v>C17H34O2</x:v>
      </x:c>
      <x:c r="E33" t="str">
        <x:v>Esters</x:v>
      </x:c>
      <x:c r="F33" t="n">
        <x:v>50</x:v>
      </x:c>
      <x:c r="G33" t="str">
        <x:v>NIST</x:v>
      </x:c>
      <x:c r="H33" s="26" t="n">
        <x:v>-665.6</x:v>
      </x:c>
      <x:c r="I33" s="26" t="n">
        <x:v>-711.49</x:v>
      </x:c>
      <x:c r="J33" s="26" t="n">
        <x:v>-710.236</x:v>
      </x:c>
      <x:c r="K33" s="26" t="n">
        <x:v>-714.3900000000001</x:v>
      </x:c>
      <x:c r="L33" s="26" t="n">
        <x:v>-796.26075</x:v>
      </x:c>
      <x:c r="M33" s="26" t="n">
        <x:v>-706.07494</x:v>
      </x:c>
      <x:c r="N33" s="26" t="n">
        <x:v>-698.10851</x:v>
      </x:c>
      <x:c r="O33" s="26" t="n">
        <x:v>-679.09472</x:v>
      </x:c>
      <x:c r="P33" s="26" t="n">
        <x:v>32.50851</x:v>
      </x:c>
      <x:c r="Q33" s="26" t="str"/>
      <x:c r="R33" s="26" t="str"/>
      <x:c r="S33" s="26"/>
      <x:c r="T33" s="26"/>
      <x:c r="U33" s="26"/>
      <x:c r="V33" t="str">
        <x:v>SMILES manual; revisar/canonicalizar com RDKit no grimperium_mini.</x:v>
      </x:c>
    </x:row>
    <x:row r="34">
      <x:c r="A34" t="str">
        <x:v>cbt_030</x:v>
      </x:c>
      <x:c r="B34" t="str">
        <x:v>Triacetin</x:v>
      </x:c>
      <x:c r="C34" t="str">
        <x:v>CC(=O)OCC(COC(C)=O)OC(C)=O</x:v>
      </x:c>
      <x:c r="D34" t="str">
        <x:v>C9H14O6</x:v>
      </x:c>
      <x:c r="E34" t="str">
        <x:v>Triglycerides</x:v>
      </x:c>
      <x:c r="F34" t="n">
        <x:v>29</x:v>
      </x:c>
      <x:c r="G34" t="str">
        <x:v>CRC</x:v>
      </x:c>
      <x:c r="H34" s="26" t="n">
        <x:v>-1245</x:v>
      </x:c>
      <x:c r="I34" s="26" t="n">
        <x:v>-1186.21</x:v>
      </x:c>
      <x:c r="J34" s="26" t="n">
        <x:v>-1193.078</x:v>
      </x:c>
      <x:c r="K34" s="26" t="n">
        <x:v>-1202.397</x:v>
      </x:c>
      <x:c r="L34" s="26" t="n">
        <x:v>-1142.86094</x:v>
      </x:c>
      <x:c r="M34" s="26" t="n">
        <x:v>-1100.06525</x:v>
      </x:c>
      <x:c r="N34" s="26" t="n">
        <x:v>-1190.81269</x:v>
      </x:c>
      <x:c r="O34" s="26" t="n">
        <x:v>-1130.8903</x:v>
      </x:c>
      <x:c r="P34" s="26" t="n">
        <x:v>54.187310000000025</x:v>
      </x:c>
      <x:c r="Q34" s="26" t="str">
        <x:v>mol_19015</x:v>
      </x:c>
      <x:c r="R34" s="26" t="str">
        <x:v>Pending</x:v>
      </x:c>
      <x:c r="S34" s="26"/>
      <x:c r="T34" s="26"/>
      <x:c r="U34" s="26"/>
      <x:c r="V34" t="str">
        <x:v>SMILES manual; revisar/canonicalizar com RDKit no grimperium_mini.</x:v>
      </x:c>
    </x:row>
    <x:row r="35">
      <x:c r="A35" t="str">
        <x:v>cbt_031</x:v>
      </x:c>
      <x:c r="B35" t="str">
        <x:v>Tributyrin</x:v>
      </x:c>
      <x:c r="C35" t="str">
        <x:v>CCCC(=O)OCC(COC(=O)CCC)OC(=O)CCC</x:v>
      </x:c>
      <x:c r="D35" t="str">
        <x:v>C15H26O6</x:v>
      </x:c>
      <x:c r="E35" t="str">
        <x:v>Triglycerides</x:v>
      </x:c>
      <x:c r="F35" t="n">
        <x:v>47</x:v>
      </x:c>
      <x:c r="G35" t="str">
        <x:v>NIST</x:v>
      </x:c>
      <x:c r="H35" s="26" t="n">
        <x:v>-1388.9</x:v>
      </x:c>
      <x:c r="I35" s="26" t="n">
        <x:v>-1310.0500000000002</x:v>
      </x:c>
      <x:c r="J35" s="26" t="n">
        <x:v>-1312.3609999999999</x:v>
      </x:c>
      <x:c r="K35" s="26" t="n">
        <x:v>-1325.767</x:v>
      </x:c>
      <x:c r="L35" s="26" t="n">
        <x:v>-1299.98751</x:v>
      </x:c>
      <x:c r="M35" s="26" t="n">
        <x:v>-1229.83066</x:v>
      </x:c>
      <x:c r="N35" s="26" t="n">
        <x:v>-1303.39424</x:v>
      </x:c>
      <x:c r="O35" s="26" t="n">
        <x:v>-1252.52058</x:v>
      </x:c>
      <x:c r="P35" s="26" t="n">
        <x:v>85.50576000000001</x:v>
      </x:c>
      <x:c r="Q35" s="26" t="str"/>
      <x:c r="R35" s="26" t="str"/>
      <x:c r="S35" s="26"/>
      <x:c r="T35" s="26"/>
      <x:c r="U35" s="26"/>
      <x:c r="V35" t="str">
        <x:v>SMILES manual; revisar/canonicalizar com RDKit no grimperium_mini.</x:v>
      </x:c>
    </x:row>
    <x:row r="36">
      <x:c r="A36" t="str">
        <x:v>cbt_032</x:v>
      </x:c>
      <x:c r="B36" t="str">
        <x:v>Trilaurin</x:v>
      </x:c>
      <x:c r="C36" t="str">
        <x:v>CCCCCCCCCCCC(=O)OCC(COC(=O)CCCCCCCCCCC)OC(=O)CCCCCCCCCCC</x:v>
      </x:c>
      <x:c r="D36" t="str">
        <x:v>C39H74O6</x:v>
      </x:c>
      <x:c r="E36" t="str">
        <x:v>Triglycerides</x:v>
      </x:c>
      <x:c r="F36" t="n">
        <x:v>119</x:v>
      </x:c>
      <x:c r="G36" t="str">
        <x:v>NIST</x:v>
      </x:c>
      <x:c r="H36" s="26" t="n">
        <x:v>-1887.4899999999998</x:v>
      </x:c>
      <x:c r="I36" s="26" t="n">
        <x:v>-1805.41</x:v>
      </x:c>
      <x:c r="J36" s="26" t="n">
        <x:v>-1810.6729999999998</x:v>
      </x:c>
      <x:c r="K36" s="26" t="n">
        <x:v>-1825.663</x:v>
      </x:c>
      <x:c r="L36" s="26" t="n">
        <x:v>-1990.7189</x:v>
      </x:c>
      <x:c r="M36" s="26" t="n">
        <x:v>-1768.19792</x:v>
      </x:c>
      <x:c r="N36" s="26" t="n">
        <x:v>-1824.35589</x:v>
      </x:c>
      <x:c r="O36" s="26" t="n">
        <x:v>-1755.12124</x:v>
      </x:c>
      <x:c r="P36" s="26" t="n">
        <x:v>63.13410999999974</x:v>
      </x:c>
      <x:c r="Q36" s="26" t="str"/>
      <x:c r="R36" s="26" t="str"/>
      <x:c r="S36" s="26"/>
      <x:c r="T36" s="26"/>
      <x:c r="U36" s="26"/>
      <x:c r="V36" t="str">
        <x:v>SMILES manual; revisar/canonicalizar com RDKit no grimperium_mini.</x:v>
      </x:c>
    </x:row>
    <x:row r="37">
      <x:c r="A37" t="str">
        <x:v>cbt_033</x:v>
      </x:c>
      <x:c r="B37" t="str">
        <x:v>Trimyristin</x:v>
      </x:c>
      <x:c r="C37" t="str">
        <x:v>CCCCCCCCCCCCCC(=O)OCC(COC(=O)CCCCCCCCCCCCC)OC(=O)CCCCCCCCCCCCC</x:v>
      </x:c>
      <x:c r="D37" t="str">
        <x:v>C45H86O6</x:v>
      </x:c>
      <x:c r="E37" t="str">
        <x:v>Triglycerides</x:v>
      </x:c>
      <x:c r="F37" t="n">
        <x:v>137</x:v>
      </x:c>
      <x:c r="G37" t="str">
        <x:v>NIST</x:v>
      </x:c>
      <x:c r="H37" s="26" t="n">
        <x:v>-2003.6000000000001</x:v>
      </x:c>
      <x:c r="I37" s="26" t="n">
        <x:v>-1929.25</x:v>
      </x:c>
      <x:c r="J37" s="26" t="n">
        <x:v>-1935.2509999999997</x:v>
      </x:c>
      <x:c r="K37" s="26" t="n">
        <x:v>-1950.6370000000002</x:v>
      </x:c>
      <x:c r="L37" s="26" t="n">
        <x:v>-2162.9471</x:v>
      </x:c>
      <x:c r="M37" s="26" t="n">
        <x:v>-1904.63415</x:v>
      </x:c>
      <x:c r="N37" s="26" t="n">
        <x:v>-1955.36378</x:v>
      </x:c>
      <x:c r="O37" s="26" t="n">
        <x:v>-1886.10792</x:v>
      </x:c>
      <x:c r="P37" s="26" t="n">
        <x:v>48.23622000000023</x:v>
      </x:c>
      <x:c r="Q37" s="26" t="str"/>
      <x:c r="R37" s="26" t="str"/>
      <x:c r="S37" s="26"/>
      <x:c r="T37" s="26"/>
      <x:c r="U37" s="26"/>
      <x:c r="V37" t="str">
        <x:v>SMILES manual; revisar/canonicalizar com RDKit no grimperium_mini.</x:v>
      </x:c>
    </x:row>
    <x:row r="38">
      <x:c r="A38" t="str">
        <x:v>cbt_034</x:v>
      </x:c>
      <x:c r="B38" t="str">
        <x:v>Tripalmitin</x:v>
      </x:c>
      <x:c r="C38" t="str">
        <x:v>CCCCCCCCCCCCCCCC(=O)OCC(COC(=O)CCCCCCCCCCCCCCC)OC(=O)CCCCCCCCCCCCCCC</x:v>
      </x:c>
      <x:c r="D38" t="str">
        <x:v>C51H98O6</x:v>
      </x:c>
      <x:c r="E38" t="str">
        <x:v>Triglycerides</x:v>
      </x:c>
      <x:c r="F38" t="n">
        <x:v>155</x:v>
      </x:c>
      <x:c r="G38" t="str">
        <x:v>NIST</x:v>
      </x:c>
      <x:c r="H38" s="26" t="n">
        <x:v>-2089</x:v>
      </x:c>
      <x:c r="I38" s="26" t="n">
        <x:v>-2053.09</x:v>
      </x:c>
      <x:c r="J38" s="26" t="n">
        <x:v>-2059.8289999999997</x:v>
      </x:c>
      <x:c r="K38" s="26" t="n">
        <x:v>-2075.611</x:v>
      </x:c>
      <x:c r="L38" s="26" t="n">
        <x:v>-2335.22083</x:v>
      </x:c>
      <x:c r="M38" s="26" t="n">
        <x:v>-2041.06221</x:v>
      </x:c>
      <x:c r="N38" s="26" t="n">
        <x:v>-2082.95641</x:v>
      </x:c>
      <x:c r="O38" s="26" t="n">
        <x:v>-2008.36722</x:v>
      </x:c>
      <x:c r="P38" s="26" t="n">
        <x:v>6.043590000000222</x:v>
      </x:c>
      <x:c r="Q38" s="26" t="str"/>
      <x:c r="R38" s="26" t="str"/>
      <x:c r="S38" s="26"/>
      <x:c r="T38" s="26"/>
      <x:c r="U38" s="26"/>
      <x:c r="V38" t="str">
        <x:v>SMILES manual; revisar/canonicalizar com RDKit no grimperium_mini.</x:v>
      </x:c>
    </x:row>
    <x:row r="39">
      <x:c r="A39" t="str">
        <x:v>cbt_035</x:v>
      </x:c>
      <x:c r="B39" t="str">
        <x:v>Water</x:v>
      </x:c>
      <x:c r="C39" t="str">
        <x:v>O</x:v>
      </x:c>
      <x:c r="D39" t="str">
        <x:v>H2O</x:v>
      </x:c>
      <x:c r="E39" t="str">
        <x:v>Auxiliary</x:v>
      </x:c>
      <x:c r="F39" t="n">
        <x:v>3</x:v>
      </x:c>
      <x:c r="G39" t="str">
        <x:v>NIST</x:v>
      </x:c>
      <x:c r="H39" s="26" t="n">
        <x:v>-241.83</x:v>
      </x:c>
      <x:c r="I39" s="26" t="n">
        <x:v>-241.83</x:v>
      </x:c>
      <x:c r="J39" s="26" t="n">
        <x:v>-241.83</x:v>
      </x:c>
      <x:c r="K39" s="26" t="n">
        <x:v>-241.83</x:v>
      </x:c>
      <x:c r="L39" s="26" t="n">
        <x:v>-241.83</x:v>
      </x:c>
      <x:c r="M39" s="26" t="n">
        <x:v>-241.83</x:v>
      </x:c>
      <x:c r="N39" s="26" t="n">
        <x:v>-241.83</x:v>
      </x:c>
      <x:c r="O39" s="26" t="n">
        <x:v>-241.83</x:v>
      </x:c>
      <x:c r="P39" s="26" t="n">
        <x:v>0</x:v>
      </x:c>
      <x:c r="Q39" s="26" t="str"/>
      <x:c r="R39" s="26" t="str"/>
      <x:c r="S39" s="26"/>
      <x:c r="T39" s="26"/>
      <x:c r="U39" s="26"/>
      <x:c r="V39" t="str">
        <x:v>SMILES manual; revisar/canonicalizar com RDKit no grimperium_mini.</x:v>
      </x:c>
    </x:row>
  </x:sheetData>
  <x:mergeCells>
    <x:mergeCell ref="A1:Y1"/>
    <x:mergeCell ref="A2:Y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9" hidden="0" customWidth="1"/>
    <x:col min="5" max="5" width="10" hidden="0" customWidth="1"/>
    <x:col min="6" max="6" width="9" hidden="0" customWidth="1"/>
    <x:col min="7" max="7" width="11" hidden="0" customWidth="1"/>
    <x:col min="8" max="8" width="11" hidden="0" customWidth="1"/>
    <x:col min="9" max="9" width="16" hidden="0" customWidth="1"/>
    <x:col min="10" max="10" width="16" hidden="0" customWidth="1"/>
    <x:col min="11" max="11" width="12" hidden="0" customWidth="1"/>
    <x:col min="12" max="12" width="13" hidden="0" customWidth="1"/>
    <x:col min="13" max="13" width="16" hidden="0" customWidth="1"/>
    <x:col min="14" max="14" width="14" hidden="0" customWidth="1"/>
    <x:col min="15" max="15" width="12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6" hidden="0" customWidth="1"/>
    <x:col min="21" max="21" width="16" hidden="0" customWidth="1"/>
    <x:col min="22" max="22" width="12" hidden="0" customWidth="1"/>
    <x:col min="23" max="23" width="34" hidden="0" customWidth="1"/>
    <x:col min="24" max="24" width="30" hidden="0" customWidth="1"/>
    <x:col min="25" max="25" width="30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20" hidden="0" customWidth="1"/>
    <x:col min="31" max="31" width="18" hidden="0" customWidth="1"/>
    <x:col min="32" max="32" width="14" hidden="0" customWidth="1"/>
    <x:col min="33" max="33" width="18" hidden="0" customWidth="1"/>
    <x:col min="34" max="34" width="18" hidden="0" customWidth="1"/>
  </x:cols>
  <x:sheetData>
    <x:row r="1">
      <x:c r="A1" s="4" t="str">
        <x:v>Entrada e saída do pipeline grimperium_mini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</x:row>
    <x:row r="2">
      <x:c r="A2" s="10" t="str">
        <x:v>Uma linha por molécula e método semiempírico. O código deve preencher as colunas de execução e HOF.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  <x:c r="AB2" s="10"/>
      <x:c r="AC2" s="10"/>
      <x:c r="AD2" s="10"/>
      <x:c r="AE2" s="10"/>
      <x:c r="AF2" s="10"/>
      <x:c r="AG2" s="10"/>
      <x:c r="AH2" s="10"/>
    </x:row>
    <x:row r="4">
      <x:c r="A4" s="18" t="str">
        <x:v>mol_id</x:v>
      </x:c>
      <x:c r="B4" s="18" t="str">
        <x:v>molecule</x:v>
      </x:c>
      <x:c r="C4" s="18" t="str">
        <x:v>smiles</x:v>
      </x:c>
      <x:c r="D4" s="18" t="str">
        <x:v>method</x:v>
      </x:c>
      <x:c r="E4" s="18" t="str">
        <x:v>run_crest</x:v>
      </x:c>
      <x:c r="F4" s="18" t="str">
        <x:v>charge</x:v>
      </x:c>
      <x:c r="G4" s="18" t="str">
        <x:v>multiplicity</x:v>
      </x:c>
      <x:c r="H4" s="18" t="str">
        <x:v>status</x:v>
      </x:c>
      <x:c r="I4" s="18" t="str">
        <x:v>crest_status</x:v>
      </x:c>
      <x:c r="J4" s="18" t="str">
        <x:v>mopac_status</x:v>
      </x:c>
      <x:c r="K4" s="18" t="str">
        <x:v>crest_method</x:v>
      </x:c>
      <x:c r="L4" s="18" t="str">
        <x:v>crest_quick_mode</x:v>
      </x:c>
      <x:c r="M4" s="18" t="str">
        <x:v>energy_window_kcalmol</x:v>
      </x:c>
      <x:c r="N4" s="18" t="str">
        <x:v>rmsd_threshold_A</x:v>
      </x:c>
      <x:c r="O4" s="18" t="str">
        <x:v>crest_threads</x:v>
      </x:c>
      <x:c r="P4" s="18" t="str">
        <x:v>max_conformers_to_process</x:v>
      </x:c>
      <x:c r="Q4" s="18" t="str">
        <x:v>crest_conformers_found</x:v>
      </x:c>
      <x:c r="R4" s="18" t="str">
        <x:v>num_conformers_selected</x:v>
      </x:c>
      <x:c r="S4" s="18" t="str">
        <x:v>selected_conformer_rank</x:v>
      </x:c>
      <x:c r="T4" s="18" t="str">
        <x:v>hof_selected_kcalmol</x:v>
      </x:c>
      <x:c r="U4" s="18" t="str">
        <x:v>hof_selected_kJmol</x:v>
      </x:c>
      <x:c r="V4" s="18" t="str">
        <x:v>total_time_s</x:v>
      </x:c>
      <x:c r="W4" s="18" t="str">
        <x:v>error_message</x:v>
      </x:c>
      <x:c r="X4" s="18" t="str">
        <x:v>work_dir</x:v>
      </x:c>
      <x:c r="Y4" s="18" t="str">
        <x:v>output_file</x:v>
      </x:c>
      <x:c r="Z4" s="18" t="str">
        <x:v>ref_Hf_exp_kJmol</x:v>
      </x:c>
      <x:c r="AA4" s="18" t="str">
        <x:v>ref_Hf_JR_kJmol</x:v>
      </x:c>
      <x:c r="AB4" s="18" t="str">
        <x:v>ref_Hf_CG_kJmol</x:v>
      </x:c>
      <x:c r="AC4" s="18" t="str">
        <x:v>ref_Hf_MG_kJmol</x:v>
      </x:c>
      <x:c r="AD4" s="18" t="str">
        <x:v>ref_Hf_PM7_TCC_VEGA_MOPAC_kJmol</x:v>
      </x:c>
      <x:c r="AE4" s="18" t="str">
        <x:v>grimperium_original_mol_id</x:v>
      </x:c>
      <x:c r="AF4" s="18" t="str">
        <x:v>grimperium_original_status</x:v>
      </x:c>
      <x:c r="AG4" s="18" t="str">
        <x:v>grimperium_original_H298_pm7_kcalmol</x:v>
      </x:c>
      <x:c r="AH4" s="18" t="str">
        <x:v>grimperium_original_H298_pm7_kJmol</x:v>
      </x:c>
    </x:row>
    <x:row r="5">
      <x:c r="A5" t="str">
        <x:v>cbt_001</x:v>
      </x:c>
      <x:c r="B5" t="str">
        <x:v>Acetic acid</x:v>
      </x:c>
      <x:c r="C5" t="str">
        <x:v>CC(=O)O</x:v>
      </x:c>
      <x:c r="D5" t="str">
        <x:v>AM1</x:v>
      </x:c>
      <x:c r="E5" s="28" t="b">
        <x:v>1</x:v>
      </x:c>
      <x:c r="F5" t="n">
        <x:v>0</x:v>
      </x:c>
      <x:c r="G5" t="n">
        <x:v>1</x:v>
      </x:c>
      <x:c r="H5" t="str">
        <x:v>Pending</x:v>
      </x:c>
      <x:c r="I5" t="str">
        <x:v>NOT_ATTEMPTED</x:v>
      </x:c>
      <x:c r="J5" t="str">
        <x:v>NOT_ATTEMPTED</x:v>
      </x:c>
      <x:c r="K5" t="str">
        <x:v>gfn2</x:v>
      </x:c>
      <x:c r="L5" t="str">
        <x:v>off</x:v>
      </x:c>
      <x:c r="M5" s="26" t="n">
        <x:v>6</x:v>
      </x:c>
      <x:c r="N5" s="26" t="n">
        <x:v>0.125</x:v>
      </x:c>
      <x:c r="O5" t="n">
        <x:v>4</x:v>
      </x:c>
      <x:c r="P5" t="n">
        <x:v>10</x:v>
      </x:c>
      <x:c r="Q5"/>
      <x:c r="R5"/>
      <x:c r="S5"/>
      <x:c r="T5" s="26"/>
      <x:c r="U5" s="26" t="str">
        <x:f>IF(T5="","",T5*4.184)</x:f>
      </x:c>
      <x:c r="V5" s="26"/>
      <x:c r="W5" t="str"/>
      <x:c r="X5" t="str"/>
      <x:c r="Y5" t="str"/>
      <x:c r="Z5" s="26" t="n">
        <x:v>-432.2</x:v>
      </x:c>
      <x:c r="AA5" s="26" t="n">
        <x:v>-434.88</x:v>
      </x:c>
      <x:c r="AB5" s="26" t="n">
        <x:v>-431.35400000000004</x:v>
      </x:c>
      <x:c r="AC5" s="26" t="n">
        <x:v>-426.861</x:v>
      </x:c>
      <x:c r="AD5" s="26" t="n">
        <x:v>-427.79466</x:v>
      </x:c>
      <x:c r="AE5" s="26" t="str"/>
      <x:c r="AF5" s="26" t="str"/>
      <x:c r="AG5" s="26"/>
      <x:c r="AH5" s="26"/>
    </x:row>
    <x:row r="6">
      <x:c r="A6" t="str">
        <x:v>cbt_001</x:v>
      </x:c>
      <x:c r="B6" t="str">
        <x:v>Acetic acid</x:v>
      </x:c>
      <x:c r="C6" t="str">
        <x:v>CC(=O)O</x:v>
      </x:c>
      <x:c r="D6" t="str">
        <x:v>PM3</x:v>
      </x:c>
      <x:c r="E6" s="28" t="b">
        <x:v>1</x:v>
      </x:c>
      <x:c r="F6" t="n">
        <x:v>0</x:v>
      </x:c>
      <x:c r="G6" t="n">
        <x:v>1</x:v>
      </x:c>
      <x:c r="H6" t="str">
        <x:v>Pending</x:v>
      </x:c>
      <x:c r="I6" t="str">
        <x:v>NOT_ATTEMPTED</x:v>
      </x:c>
      <x:c r="J6" t="str">
        <x:v>NOT_ATTEMPTED</x:v>
      </x:c>
      <x:c r="K6" t="str">
        <x:v>gfn2</x:v>
      </x:c>
      <x:c r="L6" t="str">
        <x:v>off</x:v>
      </x:c>
      <x:c r="M6" s="26" t="n">
        <x:v>6</x:v>
      </x:c>
      <x:c r="N6" s="26" t="n">
        <x:v>0.125</x:v>
      </x:c>
      <x:c r="O6" t="n">
        <x:v>4</x:v>
      </x:c>
      <x:c r="P6" t="n">
        <x:v>10</x:v>
      </x:c>
      <x:c r="Q6"/>
      <x:c r="R6"/>
      <x:c r="S6"/>
      <x:c r="T6" s="26"/>
      <x:c r="U6" s="26" t="str">
        <x:f>IF(T6="","",T6*4.184)</x:f>
      </x:c>
      <x:c r="V6" s="26"/>
      <x:c r="W6" t="str"/>
      <x:c r="X6" t="str"/>
      <x:c r="Y6" t="str"/>
      <x:c r="Z6" s="26" t="n">
        <x:v>-432.2</x:v>
      </x:c>
      <x:c r="AA6" s="26" t="n">
        <x:v>-434.88</x:v>
      </x:c>
      <x:c r="AB6" s="26" t="n">
        <x:v>-431.35400000000004</x:v>
      </x:c>
      <x:c r="AC6" s="26" t="n">
        <x:v>-426.861</x:v>
      </x:c>
      <x:c r="AD6" s="26" t="n">
        <x:v>-427.79466</x:v>
      </x:c>
      <x:c r="AE6" s="26" t="str"/>
      <x:c r="AF6" s="26" t="str"/>
      <x:c r="AG6" s="26"/>
      <x:c r="AH6" s="26"/>
    </x:row>
    <x:row r="7">
      <x:c r="A7" t="str">
        <x:v>cbt_001</x:v>
      </x:c>
      <x:c r="B7" t="str">
        <x:v>Acetic acid</x:v>
      </x:c>
      <x:c r="C7" t="str">
        <x:v>CC(=O)O</x:v>
      </x:c>
      <x:c r="D7" t="str">
        <x:v>PM7</x:v>
      </x:c>
      <x:c r="E7" s="28" t="b">
        <x:v>1</x:v>
      </x:c>
      <x:c r="F7" t="n">
        <x:v>0</x:v>
      </x:c>
      <x:c r="G7" t="n">
        <x:v>1</x:v>
      </x:c>
      <x:c r="H7" t="str">
        <x:v>Pending</x:v>
      </x:c>
      <x:c r="I7" t="str">
        <x:v>NOT_ATTEMPTED</x:v>
      </x:c>
      <x:c r="J7" t="str">
        <x:v>NOT_ATTEMPTED</x:v>
      </x:c>
      <x:c r="K7" t="str">
        <x:v>gfn2</x:v>
      </x:c>
      <x:c r="L7" t="str">
        <x:v>off</x:v>
      </x:c>
      <x:c r="M7" s="26" t="n">
        <x:v>6</x:v>
      </x:c>
      <x:c r="N7" s="26" t="n">
        <x:v>0.125</x:v>
      </x:c>
      <x:c r="O7" t="n">
        <x:v>4</x:v>
      </x:c>
      <x:c r="P7" t="n">
        <x:v>10</x:v>
      </x:c>
      <x:c r="Q7"/>
      <x:c r="R7"/>
      <x:c r="S7"/>
      <x:c r="T7" s="26"/>
      <x:c r="U7" s="26" t="str">
        <x:f>IF(T7="","",T7*4.184)</x:f>
      </x:c>
      <x:c r="V7" s="26"/>
      <x:c r="W7" t="str"/>
      <x:c r="X7" t="str"/>
      <x:c r="Y7" t="str"/>
      <x:c r="Z7" s="26" t="n">
        <x:v>-432.2</x:v>
      </x:c>
      <x:c r="AA7" s="26" t="n">
        <x:v>-434.88</x:v>
      </x:c>
      <x:c r="AB7" s="26" t="n">
        <x:v>-431.35400000000004</x:v>
      </x:c>
      <x:c r="AC7" s="26" t="n">
        <x:v>-426.861</x:v>
      </x:c>
      <x:c r="AD7" s="26" t="n">
        <x:v>-427.79466</x:v>
      </x:c>
      <x:c r="AE7" s="26" t="str"/>
      <x:c r="AF7" s="26" t="str"/>
      <x:c r="AG7" s="26"/>
      <x:c r="AH7" s="26"/>
    </x:row>
    <x:row r="8">
      <x:c r="A8" t="str">
        <x:v>cbt_002</x:v>
      </x:c>
      <x:c r="B8" t="str">
        <x:v>Propanoic acid</x:v>
      </x:c>
      <x:c r="C8" t="str">
        <x:v>CCC(=O)O</x:v>
      </x:c>
      <x:c r="D8" t="str">
        <x:v>AM1</x:v>
      </x:c>
      <x:c r="E8" s="28" t="b">
        <x:v>1</x:v>
      </x:c>
      <x:c r="F8" t="n">
        <x:v>0</x:v>
      </x:c>
      <x:c r="G8" t="n">
        <x:v>1</x:v>
      </x:c>
      <x:c r="H8" t="str">
        <x:v>Pending</x:v>
      </x:c>
      <x:c r="I8" t="str">
        <x:v>NOT_ATTEMPTED</x:v>
      </x:c>
      <x:c r="J8" t="str">
        <x:v>NOT_ATTEMPTED</x:v>
      </x:c>
      <x:c r="K8" t="str">
        <x:v>gfn2</x:v>
      </x:c>
      <x:c r="L8" t="str">
        <x:v>off</x:v>
      </x:c>
      <x:c r="M8" s="26" t="n">
        <x:v>6</x:v>
      </x:c>
      <x:c r="N8" s="26" t="n">
        <x:v>0.125</x:v>
      </x:c>
      <x:c r="O8" t="n">
        <x:v>4</x:v>
      </x:c>
      <x:c r="P8" t="n">
        <x:v>10</x:v>
      </x:c>
      <x:c r="Q8"/>
      <x:c r="R8"/>
      <x:c r="S8"/>
      <x:c r="T8" s="26"/>
      <x:c r="U8" s="26" t="str">
        <x:f>IF(T8="","",T8*4.184)</x:f>
      </x:c>
      <x:c r="V8" s="26"/>
      <x:c r="W8" t="str"/>
      <x:c r="X8" t="str"/>
      <x:c r="Y8" t="str"/>
      <x:c r="Z8" s="26" t="n">
        <x:v>-455.7</x:v>
      </x:c>
      <x:c r="AA8" s="26" t="n">
        <x:v>-455.52000000000004</x:v>
      </x:c>
      <x:c r="AB8" s="26" t="n">
        <x:v>-452.117</x:v>
      </x:c>
      <x:c r="AC8" s="26" t="n">
        <x:v>-447.69</x:v>
      </x:c>
      <x:c r="AD8" s="26" t="n">
        <x:v>-446.53103</x:v>
      </x:c>
      <x:c r="AE8" s="26" t="str">
        <x:v>mol_01087</x:v>
      </x:c>
      <x:c r="AF8" s="26" t="str">
        <x:v>OK</x:v>
      </x:c>
      <x:c r="AG8" s="26" t="n">
        <x:v>-106.72</x:v>
      </x:c>
      <x:c r="AH8" s="26" t="n">
        <x:v>-446.51648</x:v>
      </x:c>
    </x:row>
    <x:row r="9">
      <x:c r="A9" t="str">
        <x:v>cbt_002</x:v>
      </x:c>
      <x:c r="B9" t="str">
        <x:v>Propanoic acid</x:v>
      </x:c>
      <x:c r="C9" t="str">
        <x:v>CCC(=O)O</x:v>
      </x:c>
      <x:c r="D9" t="str">
        <x:v>PM3</x:v>
      </x:c>
      <x:c r="E9" s="28" t="b">
        <x:v>1</x:v>
      </x:c>
      <x:c r="F9" t="n">
        <x:v>0</x:v>
      </x:c>
      <x:c r="G9" t="n">
        <x:v>1</x:v>
      </x:c>
      <x:c r="H9" t="str">
        <x:v>Pending</x:v>
      </x:c>
      <x:c r="I9" t="str">
        <x:v>NOT_ATTEMPTED</x:v>
      </x:c>
      <x:c r="J9" t="str">
        <x:v>NOT_ATTEMPTED</x:v>
      </x:c>
      <x:c r="K9" t="str">
        <x:v>gfn2</x:v>
      </x:c>
      <x:c r="L9" t="str">
        <x:v>off</x:v>
      </x:c>
      <x:c r="M9" s="26" t="n">
        <x:v>6</x:v>
      </x:c>
      <x:c r="N9" s="26" t="n">
        <x:v>0.125</x:v>
      </x:c>
      <x:c r="O9" t="n">
        <x:v>4</x:v>
      </x:c>
      <x:c r="P9" t="n">
        <x:v>10</x:v>
      </x:c>
      <x:c r="Q9"/>
      <x:c r="R9"/>
      <x:c r="S9"/>
      <x:c r="T9" s="26"/>
      <x:c r="U9" s="26" t="str">
        <x:f>IF(T9="","",T9*4.184)</x:f>
      </x:c>
      <x:c r="V9" s="26"/>
      <x:c r="W9" t="str"/>
      <x:c r="X9" t="str"/>
      <x:c r="Y9" t="str"/>
      <x:c r="Z9" s="26" t="n">
        <x:v>-455.7</x:v>
      </x:c>
      <x:c r="AA9" s="26" t="n">
        <x:v>-455.52000000000004</x:v>
      </x:c>
      <x:c r="AB9" s="26" t="n">
        <x:v>-452.117</x:v>
      </x:c>
      <x:c r="AC9" s="26" t="n">
        <x:v>-447.69</x:v>
      </x:c>
      <x:c r="AD9" s="26" t="n">
        <x:v>-446.53103</x:v>
      </x:c>
      <x:c r="AE9" s="26" t="str">
        <x:v>mol_01087</x:v>
      </x:c>
      <x:c r="AF9" s="26" t="str">
        <x:v>OK</x:v>
      </x:c>
      <x:c r="AG9" s="26" t="n">
        <x:v>-106.72</x:v>
      </x:c>
      <x:c r="AH9" s="26" t="n">
        <x:v>-446.51648</x:v>
      </x:c>
    </x:row>
    <x:row r="10">
      <x:c r="A10" t="str">
        <x:v>cbt_002</x:v>
      </x:c>
      <x:c r="B10" t="str">
        <x:v>Propanoic acid</x:v>
      </x:c>
      <x:c r="C10" t="str">
        <x:v>CCC(=O)O</x:v>
      </x:c>
      <x:c r="D10" t="str">
        <x:v>PM7</x:v>
      </x:c>
      <x:c r="E10" s="28" t="b">
        <x:v>1</x:v>
      </x:c>
      <x:c r="F10" t="n">
        <x:v>0</x:v>
      </x:c>
      <x:c r="G10" t="n">
        <x:v>1</x:v>
      </x:c>
      <x:c r="H10" t="str">
        <x:v>Pending</x:v>
      </x:c>
      <x:c r="I10" t="str">
        <x:v>NOT_ATTEMPTED</x:v>
      </x:c>
      <x:c r="J10" t="str">
        <x:v>NOT_ATTEMPTED</x:v>
      </x:c>
      <x:c r="K10" t="str">
        <x:v>gfn2</x:v>
      </x:c>
      <x:c r="L10" t="str">
        <x:v>off</x:v>
      </x:c>
      <x:c r="M10" s="26" t="n">
        <x:v>6</x:v>
      </x:c>
      <x:c r="N10" s="26" t="n">
        <x:v>0.125</x:v>
      </x:c>
      <x:c r="O10" t="n">
        <x:v>4</x:v>
      </x:c>
      <x:c r="P10" t="n">
        <x:v>10</x:v>
      </x:c>
      <x:c r="Q10"/>
      <x:c r="R10"/>
      <x:c r="S10"/>
      <x:c r="T10" s="26"/>
      <x:c r="U10" s="26" t="str">
        <x:f>IF(T10="","",T10*4.184)</x:f>
      </x:c>
      <x:c r="V10" s="26"/>
      <x:c r="W10" t="str"/>
      <x:c r="X10" t="str"/>
      <x:c r="Y10" t="str"/>
      <x:c r="Z10" s="26" t="n">
        <x:v>-455.7</x:v>
      </x:c>
      <x:c r="AA10" s="26" t="n">
        <x:v>-455.52000000000004</x:v>
      </x:c>
      <x:c r="AB10" s="26" t="n">
        <x:v>-452.117</x:v>
      </x:c>
      <x:c r="AC10" s="26" t="n">
        <x:v>-447.69</x:v>
      </x:c>
      <x:c r="AD10" s="26" t="n">
        <x:v>-446.53103</x:v>
      </x:c>
      <x:c r="AE10" s="26" t="str">
        <x:v>mol_01087</x:v>
      </x:c>
      <x:c r="AF10" s="26" t="str">
        <x:v>OK</x:v>
      </x:c>
      <x:c r="AG10" s="26" t="n">
        <x:v>-106.72</x:v>
      </x:c>
      <x:c r="AH10" s="26" t="n">
        <x:v>-446.51648</x:v>
      </x:c>
    </x:row>
    <x:row r="11">
      <x:c r="A11" t="str">
        <x:v>cbt_003</x:v>
      </x:c>
      <x:c r="B11" t="str">
        <x:v>Butyric acid</x:v>
      </x:c>
      <x:c r="C11" t="str">
        <x:v>CCCC(=O)O</x:v>
      </x:c>
      <x:c r="D11" t="str">
        <x:v>AM1</x:v>
      </x:c>
      <x:c r="E11" s="28" t="b">
        <x:v>1</x:v>
      </x:c>
      <x:c r="F11" t="n">
        <x:v>0</x:v>
      </x:c>
      <x:c r="G11" t="n">
        <x:v>1</x:v>
      </x:c>
      <x:c r="H11" t="str">
        <x:v>Pending</x:v>
      </x:c>
      <x:c r="I11" t="str">
        <x:v>NOT_ATTEMPTED</x:v>
      </x:c>
      <x:c r="J11" t="str">
        <x:v>NOT_ATTEMPTED</x:v>
      </x:c>
      <x:c r="K11" t="str">
        <x:v>gfn2</x:v>
      </x:c>
      <x:c r="L11" t="str">
        <x:v>off</x:v>
      </x:c>
      <x:c r="M11" s="26" t="n">
        <x:v>6</x:v>
      </x:c>
      <x:c r="N11" s="26" t="n">
        <x:v>0.125</x:v>
      </x:c>
      <x:c r="O11" t="n">
        <x:v>4</x:v>
      </x:c>
      <x:c r="P11" t="n">
        <x:v>10</x:v>
      </x:c>
      <x:c r="Q11"/>
      <x:c r="R11"/>
      <x:c r="S11"/>
      <x:c r="T11" s="26"/>
      <x:c r="U11" s="26" t="str">
        <x:f>IF(T11="","",T11*4.184)</x:f>
      </x:c>
      <x:c r="V11" s="26"/>
      <x:c r="W11" t="str"/>
      <x:c r="X11" t="str"/>
      <x:c r="Y11" t="str"/>
      <x:c r="Z11" s="26" t="n">
        <x:v>-475.8</x:v>
      </x:c>
      <x:c r="AA11" s="26" t="n">
        <x:v>-476.16</x:v>
      </x:c>
      <x:c r="AB11" s="26" t="n">
        <x:v>-472.88000000000005</x:v>
      </x:c>
      <x:c r="AC11" s="26" t="n">
        <x:v>-468.519</x:v>
      </x:c>
      <x:c r="AD11" s="26" t="n">
        <x:v>-468.50627</x:v>
      </x:c>
      <x:c r="AE11" s="26" t="str">
        <x:v>mol_01110</x:v>
      </x:c>
      <x:c r="AF11" s="26" t="str">
        <x:v>OK</x:v>
      </x:c>
      <x:c r="AG11" s="26" t="n">
        <x:v>-111.98</x:v>
      </x:c>
      <x:c r="AH11" s="26" t="n">
        <x:v>-468.52432000000005</x:v>
      </x:c>
    </x:row>
    <x:row r="12">
      <x:c r="A12" t="str">
        <x:v>cbt_003</x:v>
      </x:c>
      <x:c r="B12" t="str">
        <x:v>Butyric acid</x:v>
      </x:c>
      <x:c r="C12" t="str">
        <x:v>CCCC(=O)O</x:v>
      </x:c>
      <x:c r="D12" t="str">
        <x:v>PM3</x:v>
      </x:c>
      <x:c r="E12" s="28" t="b">
        <x:v>1</x:v>
      </x:c>
      <x:c r="F12" t="n">
        <x:v>0</x:v>
      </x:c>
      <x:c r="G12" t="n">
        <x:v>1</x:v>
      </x:c>
      <x:c r="H12" t="str">
        <x:v>Pending</x:v>
      </x:c>
      <x:c r="I12" t="str">
        <x:v>NOT_ATTEMPTED</x:v>
      </x:c>
      <x:c r="J12" t="str">
        <x:v>NOT_ATTEMPTED</x:v>
      </x:c>
      <x:c r="K12" t="str">
        <x:v>gfn2</x:v>
      </x:c>
      <x:c r="L12" t="str">
        <x:v>off</x:v>
      </x:c>
      <x:c r="M12" s="26" t="n">
        <x:v>6</x:v>
      </x:c>
      <x:c r="N12" s="26" t="n">
        <x:v>0.125</x:v>
      </x:c>
      <x:c r="O12" t="n">
        <x:v>4</x:v>
      </x:c>
      <x:c r="P12" t="n">
        <x:v>10</x:v>
      </x:c>
      <x:c r="Q12"/>
      <x:c r="R12"/>
      <x:c r="S12"/>
      <x:c r="T12" s="26"/>
      <x:c r="U12" s="26" t="str">
        <x:f>IF(T12="","",T12*4.184)</x:f>
      </x:c>
      <x:c r="V12" s="26"/>
      <x:c r="W12" t="str"/>
      <x:c r="X12" t="str"/>
      <x:c r="Y12" t="str"/>
      <x:c r="Z12" s="26" t="n">
        <x:v>-475.8</x:v>
      </x:c>
      <x:c r="AA12" s="26" t="n">
        <x:v>-476.16</x:v>
      </x:c>
      <x:c r="AB12" s="26" t="n">
        <x:v>-472.88000000000005</x:v>
      </x:c>
      <x:c r="AC12" s="26" t="n">
        <x:v>-468.519</x:v>
      </x:c>
      <x:c r="AD12" s="26" t="n">
        <x:v>-468.50627</x:v>
      </x:c>
      <x:c r="AE12" s="26" t="str">
        <x:v>mol_01110</x:v>
      </x:c>
      <x:c r="AF12" s="26" t="str">
        <x:v>OK</x:v>
      </x:c>
      <x:c r="AG12" s="26" t="n">
        <x:v>-111.98</x:v>
      </x:c>
      <x:c r="AH12" s="26" t="n">
        <x:v>-468.52432000000005</x:v>
      </x:c>
    </x:row>
    <x:row r="13">
      <x:c r="A13" t="str">
        <x:v>cbt_003</x:v>
      </x:c>
      <x:c r="B13" t="str">
        <x:v>Butyric acid</x:v>
      </x:c>
      <x:c r="C13" t="str">
        <x:v>CCCC(=O)O</x:v>
      </x:c>
      <x:c r="D13" t="str">
        <x:v>PM7</x:v>
      </x:c>
      <x:c r="E13" s="28" t="b">
        <x:v>1</x:v>
      </x:c>
      <x:c r="F13" t="n">
        <x:v>0</x:v>
      </x:c>
      <x:c r="G13" t="n">
        <x:v>1</x:v>
      </x:c>
      <x:c r="H13" t="str">
        <x:v>Pending</x:v>
      </x:c>
      <x:c r="I13" t="str">
        <x:v>NOT_ATTEMPTED</x:v>
      </x:c>
      <x:c r="J13" t="str">
        <x:v>NOT_ATTEMPTED</x:v>
      </x:c>
      <x:c r="K13" t="str">
        <x:v>gfn2</x:v>
      </x:c>
      <x:c r="L13" t="str">
        <x:v>off</x:v>
      </x:c>
      <x:c r="M13" s="26" t="n">
        <x:v>6</x:v>
      </x:c>
      <x:c r="N13" s="26" t="n">
        <x:v>0.125</x:v>
      </x:c>
      <x:c r="O13" t="n">
        <x:v>4</x:v>
      </x:c>
      <x:c r="P13" t="n">
        <x:v>10</x:v>
      </x:c>
      <x:c r="Q13"/>
      <x:c r="R13"/>
      <x:c r="S13"/>
      <x:c r="T13" s="26"/>
      <x:c r="U13" s="26" t="str">
        <x:f>IF(T13="","",T13*4.184)</x:f>
      </x:c>
      <x:c r="V13" s="26"/>
      <x:c r="W13" t="str"/>
      <x:c r="X13" t="str"/>
      <x:c r="Y13" t="str"/>
      <x:c r="Z13" s="26" t="n">
        <x:v>-475.8</x:v>
      </x:c>
      <x:c r="AA13" s="26" t="n">
        <x:v>-476.16</x:v>
      </x:c>
      <x:c r="AB13" s="26" t="n">
        <x:v>-472.88000000000005</x:v>
      </x:c>
      <x:c r="AC13" s="26" t="n">
        <x:v>-468.519</x:v>
      </x:c>
      <x:c r="AD13" s="26" t="n">
        <x:v>-468.50627</x:v>
      </x:c>
      <x:c r="AE13" s="26" t="str">
        <x:v>mol_01110</x:v>
      </x:c>
      <x:c r="AF13" s="26" t="str">
        <x:v>OK</x:v>
      </x:c>
      <x:c r="AG13" s="26" t="n">
        <x:v>-111.98</x:v>
      </x:c>
      <x:c r="AH13" s="26" t="n">
        <x:v>-468.52432000000005</x:v>
      </x:c>
    </x:row>
    <x:row r="14">
      <x:c r="A14" t="str">
        <x:v>cbt_004</x:v>
      </x:c>
      <x:c r="B14" t="str">
        <x:v>Pentanoic acid</x:v>
      </x:c>
      <x:c r="C14" t="str">
        <x:v>CCCCC(=O)O</x:v>
      </x:c>
      <x:c r="D14" t="str">
        <x:v>AM1</x:v>
      </x:c>
      <x:c r="E14" s="28" t="b">
        <x:v>1</x:v>
      </x:c>
      <x:c r="F14" t="n">
        <x:v>0</x:v>
      </x:c>
      <x:c r="G14" t="n">
        <x:v>1</x:v>
      </x:c>
      <x:c r="H14" t="str">
        <x:v>Pending</x:v>
      </x:c>
      <x:c r="I14" t="str">
        <x:v>NOT_ATTEMPTED</x:v>
      </x:c>
      <x:c r="J14" t="str">
        <x:v>NOT_ATTEMPTED</x:v>
      </x:c>
      <x:c r="K14" t="str">
        <x:v>gfn2</x:v>
      </x:c>
      <x:c r="L14" t="str">
        <x:v>off</x:v>
      </x:c>
      <x:c r="M14" s="26" t="n">
        <x:v>6</x:v>
      </x:c>
      <x:c r="N14" s="26" t="n">
        <x:v>0.125</x:v>
      </x:c>
      <x:c r="O14" t="n">
        <x:v>4</x:v>
      </x:c>
      <x:c r="P14" t="n">
        <x:v>10</x:v>
      </x:c>
      <x:c r="Q14"/>
      <x:c r="R14"/>
      <x:c r="S14"/>
      <x:c r="T14" s="26"/>
      <x:c r="U14" s="26" t="str">
        <x:f>IF(T14="","",T14*4.184)</x:f>
      </x:c>
      <x:c r="V14" s="26"/>
      <x:c r="W14" t="str"/>
      <x:c r="X14" t="str"/>
      <x:c r="Y14" t="str"/>
      <x:c r="Z14" s="26" t="n">
        <x:v>-491.3</x:v>
      </x:c>
      <x:c r="AA14" s="26" t="n">
        <x:v>-496.8</x:v>
      </x:c>
      <x:c r="AB14" s="26" t="n">
        <x:v>-493.64300000000003</x:v>
      </x:c>
      <x:c r="AC14" s="26" t="n">
        <x:v>-489.348</x:v>
      </x:c>
      <x:c r="AD14" s="26" t="n">
        <x:v>-489.3534</x:v>
      </x:c>
      <x:c r="AE14" s="26" t="str">
        <x:v>mol_01151</x:v>
      </x:c>
      <x:c r="AF14" s="26" t="str">
        <x:v>OK</x:v>
      </x:c>
      <x:c r="AG14" s="26" t="n">
        <x:v>-116.96</x:v>
      </x:c>
      <x:c r="AH14" s="26" t="n">
        <x:v>-489.36064</x:v>
      </x:c>
    </x:row>
    <x:row r="15">
      <x:c r="A15" t="str">
        <x:v>cbt_004</x:v>
      </x:c>
      <x:c r="B15" t="str">
        <x:v>Pentanoic acid</x:v>
      </x:c>
      <x:c r="C15" t="str">
        <x:v>CCCCC(=O)O</x:v>
      </x:c>
      <x:c r="D15" t="str">
        <x:v>PM3</x:v>
      </x:c>
      <x:c r="E15" s="28" t="b">
        <x:v>1</x:v>
      </x:c>
      <x:c r="F15" t="n">
        <x:v>0</x:v>
      </x:c>
      <x:c r="G15" t="n">
        <x:v>1</x:v>
      </x:c>
      <x:c r="H15" t="str">
        <x:v>Pending</x:v>
      </x:c>
      <x:c r="I15" t="str">
        <x:v>NOT_ATTEMPTED</x:v>
      </x:c>
      <x:c r="J15" t="str">
        <x:v>NOT_ATTEMPTED</x:v>
      </x:c>
      <x:c r="K15" t="str">
        <x:v>gfn2</x:v>
      </x:c>
      <x:c r="L15" t="str">
        <x:v>off</x:v>
      </x:c>
      <x:c r="M15" s="26" t="n">
        <x:v>6</x:v>
      </x:c>
      <x:c r="N15" s="26" t="n">
        <x:v>0.125</x:v>
      </x:c>
      <x:c r="O15" t="n">
        <x:v>4</x:v>
      </x:c>
      <x:c r="P15" t="n">
        <x:v>10</x:v>
      </x:c>
      <x:c r="Q15"/>
      <x:c r="R15"/>
      <x:c r="S15"/>
      <x:c r="T15" s="26"/>
      <x:c r="U15" s="26" t="str">
        <x:f>IF(T15="","",T15*4.184)</x:f>
      </x:c>
      <x:c r="V15" s="26"/>
      <x:c r="W15" t="str"/>
      <x:c r="X15" t="str"/>
      <x:c r="Y15" t="str"/>
      <x:c r="Z15" s="26" t="n">
        <x:v>-491.3</x:v>
      </x:c>
      <x:c r="AA15" s="26" t="n">
        <x:v>-496.8</x:v>
      </x:c>
      <x:c r="AB15" s="26" t="n">
        <x:v>-493.64300000000003</x:v>
      </x:c>
      <x:c r="AC15" s="26" t="n">
        <x:v>-489.348</x:v>
      </x:c>
      <x:c r="AD15" s="26" t="n">
        <x:v>-489.3534</x:v>
      </x:c>
      <x:c r="AE15" s="26" t="str">
        <x:v>mol_01151</x:v>
      </x:c>
      <x:c r="AF15" s="26" t="str">
        <x:v>OK</x:v>
      </x:c>
      <x:c r="AG15" s="26" t="n">
        <x:v>-116.96</x:v>
      </x:c>
      <x:c r="AH15" s="26" t="n">
        <x:v>-489.36064</x:v>
      </x:c>
    </x:row>
    <x:row r="16">
      <x:c r="A16" t="str">
        <x:v>cbt_004</x:v>
      </x:c>
      <x:c r="B16" t="str">
        <x:v>Pentanoic acid</x:v>
      </x:c>
      <x:c r="C16" t="str">
        <x:v>CCCCC(=O)O</x:v>
      </x:c>
      <x:c r="D16" t="str">
        <x:v>PM7</x:v>
      </x:c>
      <x:c r="E16" s="28" t="b">
        <x:v>1</x:v>
      </x:c>
      <x:c r="F16" t="n">
        <x:v>0</x:v>
      </x:c>
      <x:c r="G16" t="n">
        <x:v>1</x:v>
      </x:c>
      <x:c r="H16" t="str">
        <x:v>Pending</x:v>
      </x:c>
      <x:c r="I16" t="str">
        <x:v>NOT_ATTEMPTED</x:v>
      </x:c>
      <x:c r="J16" t="str">
        <x:v>NOT_ATTEMPTED</x:v>
      </x:c>
      <x:c r="K16" t="str">
        <x:v>gfn2</x:v>
      </x:c>
      <x:c r="L16" t="str">
        <x:v>off</x:v>
      </x:c>
      <x:c r="M16" s="26" t="n">
        <x:v>6</x:v>
      </x:c>
      <x:c r="N16" s="26" t="n">
        <x:v>0.125</x:v>
      </x:c>
      <x:c r="O16" t="n">
        <x:v>4</x:v>
      </x:c>
      <x:c r="P16" t="n">
        <x:v>10</x:v>
      </x:c>
      <x:c r="Q16"/>
      <x:c r="R16"/>
      <x:c r="S16"/>
      <x:c r="T16" s="26"/>
      <x:c r="U16" s="26" t="str">
        <x:f>IF(T16="","",T16*4.184)</x:f>
      </x:c>
      <x:c r="V16" s="26"/>
      <x:c r="W16" t="str"/>
      <x:c r="X16" t="str"/>
      <x:c r="Y16" t="str"/>
      <x:c r="Z16" s="26" t="n">
        <x:v>-491.3</x:v>
      </x:c>
      <x:c r="AA16" s="26" t="n">
        <x:v>-496.8</x:v>
      </x:c>
      <x:c r="AB16" s="26" t="n">
        <x:v>-493.64300000000003</x:v>
      </x:c>
      <x:c r="AC16" s="26" t="n">
        <x:v>-489.348</x:v>
      </x:c>
      <x:c r="AD16" s="26" t="n">
        <x:v>-489.3534</x:v>
      </x:c>
      <x:c r="AE16" s="26" t="str">
        <x:v>mol_01151</x:v>
      </x:c>
      <x:c r="AF16" s="26" t="str">
        <x:v>OK</x:v>
      </x:c>
      <x:c r="AG16" s="26" t="n">
        <x:v>-116.96</x:v>
      </x:c>
      <x:c r="AH16" s="26" t="n">
        <x:v>-489.36064</x:v>
      </x:c>
    </x:row>
    <x:row r="17">
      <x:c r="A17" t="str">
        <x:v>cbt_005</x:v>
      </x:c>
      <x:c r="B17" t="str">
        <x:v>Hexanoic acid</x:v>
      </x:c>
      <x:c r="C17" t="str">
        <x:v>CCCCCC(=O)O</x:v>
      </x:c>
      <x:c r="D17" t="str">
        <x:v>AM1</x:v>
      </x:c>
      <x:c r="E17" s="28" t="b">
        <x:v>1</x:v>
      </x:c>
      <x:c r="F17" t="n">
        <x:v>0</x:v>
      </x:c>
      <x:c r="G17" t="n">
        <x:v>1</x:v>
      </x:c>
      <x:c r="H17" t="str">
        <x:v>Pending</x:v>
      </x:c>
      <x:c r="I17" t="str">
        <x:v>NOT_ATTEMPTED</x:v>
      </x:c>
      <x:c r="J17" t="str">
        <x:v>NOT_ATTEMPTED</x:v>
      </x:c>
      <x:c r="K17" t="str">
        <x:v>gfn2</x:v>
      </x:c>
      <x:c r="L17" t="str">
        <x:v>off</x:v>
      </x:c>
      <x:c r="M17" s="26" t="n">
        <x:v>6</x:v>
      </x:c>
      <x:c r="N17" s="26" t="n">
        <x:v>0.125</x:v>
      </x:c>
      <x:c r="O17" t="n">
        <x:v>4</x:v>
      </x:c>
      <x:c r="P17" t="n">
        <x:v>10</x:v>
      </x:c>
      <x:c r="Q17"/>
      <x:c r="R17"/>
      <x:c r="S17"/>
      <x:c r="T17" s="26"/>
      <x:c r="U17" s="26" t="str">
        <x:f>IF(T17="","",T17*4.184)</x:f>
      </x:c>
      <x:c r="V17" s="26"/>
      <x:c r="W17" t="str"/>
      <x:c r="X17" t="str"/>
      <x:c r="Y17" t="str"/>
      <x:c r="Z17" s="26" t="n">
        <x:v>-511.9</x:v>
      </x:c>
      <x:c r="AA17" s="26" t="n">
        <x:v>-517.44</x:v>
      </x:c>
      <x:c r="AB17" s="26" t="n">
        <x:v>-514.406</x:v>
      </x:c>
      <x:c r="AC17" s="26" t="n">
        <x:v>-510.177</x:v>
      </x:c>
      <x:c r="AD17" s="26" t="n">
        <x:v>-510.9457</x:v>
      </x:c>
      <x:c r="AE17" s="26" t="str">
        <x:v>mol_01511</x:v>
      </x:c>
      <x:c r="AF17" s="26" t="str">
        <x:v>OK</x:v>
      </x:c>
      <x:c r="AG17" s="26" t="n">
        <x:v>-122.12</x:v>
      </x:c>
      <x:c r="AH17" s="26" t="n">
        <x:v>-510.95008</x:v>
      </x:c>
    </x:row>
    <x:row r="18">
      <x:c r="A18" t="str">
        <x:v>cbt_005</x:v>
      </x:c>
      <x:c r="B18" t="str">
        <x:v>Hexanoic acid</x:v>
      </x:c>
      <x:c r="C18" t="str">
        <x:v>CCCCCC(=O)O</x:v>
      </x:c>
      <x:c r="D18" t="str">
        <x:v>PM3</x:v>
      </x:c>
      <x:c r="E18" s="28" t="b">
        <x:v>1</x:v>
      </x:c>
      <x:c r="F18" t="n">
        <x:v>0</x:v>
      </x:c>
      <x:c r="G18" t="n">
        <x:v>1</x:v>
      </x:c>
      <x:c r="H18" t="str">
        <x:v>Pending</x:v>
      </x:c>
      <x:c r="I18" t="str">
        <x:v>NOT_ATTEMPTED</x:v>
      </x:c>
      <x:c r="J18" t="str">
        <x:v>NOT_ATTEMPTED</x:v>
      </x:c>
      <x:c r="K18" t="str">
        <x:v>gfn2</x:v>
      </x:c>
      <x:c r="L18" t="str">
        <x:v>off</x:v>
      </x:c>
      <x:c r="M18" s="26" t="n">
        <x:v>6</x:v>
      </x:c>
      <x:c r="N18" s="26" t="n">
        <x:v>0.125</x:v>
      </x:c>
      <x:c r="O18" t="n">
        <x:v>4</x:v>
      </x:c>
      <x:c r="P18" t="n">
        <x:v>10</x:v>
      </x:c>
      <x:c r="Q18"/>
      <x:c r="R18"/>
      <x:c r="S18"/>
      <x:c r="T18" s="26"/>
      <x:c r="U18" s="26" t="str">
        <x:f>IF(T18="","",T18*4.184)</x:f>
      </x:c>
      <x:c r="V18" s="26"/>
      <x:c r="W18" t="str"/>
      <x:c r="X18" t="str"/>
      <x:c r="Y18" t="str"/>
      <x:c r="Z18" s="26" t="n">
        <x:v>-511.9</x:v>
      </x:c>
      <x:c r="AA18" s="26" t="n">
        <x:v>-517.44</x:v>
      </x:c>
      <x:c r="AB18" s="26" t="n">
        <x:v>-514.406</x:v>
      </x:c>
      <x:c r="AC18" s="26" t="n">
        <x:v>-510.177</x:v>
      </x:c>
      <x:c r="AD18" s="26" t="n">
        <x:v>-510.9457</x:v>
      </x:c>
      <x:c r="AE18" s="26" t="str">
        <x:v>mol_01511</x:v>
      </x:c>
      <x:c r="AF18" s="26" t="str">
        <x:v>OK</x:v>
      </x:c>
      <x:c r="AG18" s="26" t="n">
        <x:v>-122.12</x:v>
      </x:c>
      <x:c r="AH18" s="26" t="n">
        <x:v>-510.95008</x:v>
      </x:c>
    </x:row>
    <x:row r="19">
      <x:c r="A19" t="str">
        <x:v>cbt_005</x:v>
      </x:c>
      <x:c r="B19" t="str">
        <x:v>Hexanoic acid</x:v>
      </x:c>
      <x:c r="C19" t="str">
        <x:v>CCCCCC(=O)O</x:v>
      </x:c>
      <x:c r="D19" t="str">
        <x:v>PM7</x:v>
      </x:c>
      <x:c r="E19" s="28" t="b">
        <x:v>1</x:v>
      </x:c>
      <x:c r="F19" t="n">
        <x:v>0</x:v>
      </x:c>
      <x:c r="G19" t="n">
        <x:v>1</x:v>
      </x:c>
      <x:c r="H19" t="str">
        <x:v>Pending</x:v>
      </x:c>
      <x:c r="I19" t="str">
        <x:v>NOT_ATTEMPTED</x:v>
      </x:c>
      <x:c r="J19" t="str">
        <x:v>NOT_ATTEMPTED</x:v>
      </x:c>
      <x:c r="K19" t="str">
        <x:v>gfn2</x:v>
      </x:c>
      <x:c r="L19" t="str">
        <x:v>off</x:v>
      </x:c>
      <x:c r="M19" s="26" t="n">
        <x:v>6</x:v>
      </x:c>
      <x:c r="N19" s="26" t="n">
        <x:v>0.125</x:v>
      </x:c>
      <x:c r="O19" t="n">
        <x:v>4</x:v>
      </x:c>
      <x:c r="P19" t="n">
        <x:v>10</x:v>
      </x:c>
      <x:c r="Q19"/>
      <x:c r="R19"/>
      <x:c r="S19"/>
      <x:c r="T19" s="26"/>
      <x:c r="U19" s="26" t="str">
        <x:f>IF(T19="","",T19*4.184)</x:f>
      </x:c>
      <x:c r="V19" s="26"/>
      <x:c r="W19" t="str"/>
      <x:c r="X19" t="str"/>
      <x:c r="Y19" t="str"/>
      <x:c r="Z19" s="26" t="n">
        <x:v>-511.9</x:v>
      </x:c>
      <x:c r="AA19" s="26" t="n">
        <x:v>-517.44</x:v>
      </x:c>
      <x:c r="AB19" s="26" t="n">
        <x:v>-514.406</x:v>
      </x:c>
      <x:c r="AC19" s="26" t="n">
        <x:v>-510.177</x:v>
      </x:c>
      <x:c r="AD19" s="26" t="n">
        <x:v>-510.9457</x:v>
      </x:c>
      <x:c r="AE19" s="26" t="str">
        <x:v>mol_01511</x:v>
      </x:c>
      <x:c r="AF19" s="26" t="str">
        <x:v>OK</x:v>
      </x:c>
      <x:c r="AG19" s="26" t="n">
        <x:v>-122.12</x:v>
      </x:c>
      <x:c r="AH19" s="26" t="n">
        <x:v>-510.95008</x:v>
      </x:c>
    </x:row>
    <x:row r="20">
      <x:c r="A20" t="str">
        <x:v>cbt_006</x:v>
      </x:c>
      <x:c r="B20" t="str">
        <x:v>Heptanoic acid</x:v>
      </x:c>
      <x:c r="C20" t="str">
        <x:v>CCCCCCC(=O)O</x:v>
      </x:c>
      <x:c r="D20" t="str">
        <x:v>AM1</x:v>
      </x:c>
      <x:c r="E20" s="28" t="b">
        <x:v>1</x:v>
      </x:c>
      <x:c r="F20" t="n">
        <x:v>0</x:v>
      </x:c>
      <x:c r="G20" t="n">
        <x:v>1</x:v>
      </x:c>
      <x:c r="H20" t="str">
        <x:v>Pending</x:v>
      </x:c>
      <x:c r="I20" t="str">
        <x:v>NOT_ATTEMPTED</x:v>
      </x:c>
      <x:c r="J20" t="str">
        <x:v>NOT_ATTEMPTED</x:v>
      </x:c>
      <x:c r="K20" t="str">
        <x:v>gfn2</x:v>
      </x:c>
      <x:c r="L20" t="str">
        <x:v>off</x:v>
      </x:c>
      <x:c r="M20" s="26" t="n">
        <x:v>6</x:v>
      </x:c>
      <x:c r="N20" s="26" t="n">
        <x:v>0.125</x:v>
      </x:c>
      <x:c r="O20" t="n">
        <x:v>4</x:v>
      </x:c>
      <x:c r="P20" t="n">
        <x:v>10</x:v>
      </x:c>
      <x:c r="Q20"/>
      <x:c r="R20"/>
      <x:c r="S20"/>
      <x:c r="T20" s="26"/>
      <x:c r="U20" s="26" t="str">
        <x:f>IF(T20="","",T20*4.184)</x:f>
      </x:c>
      <x:c r="V20" s="26"/>
      <x:c r="W20" t="str"/>
      <x:c r="X20" t="str"/>
      <x:c r="Y20" t="str"/>
      <x:c r="Z20" s="26" t="n">
        <x:v>-536.2</x:v>
      </x:c>
      <x:c r="AA20" s="26" t="n">
        <x:v>-538.08</x:v>
      </x:c>
      <x:c r="AB20" s="26" t="n">
        <x:v>-535.169</x:v>
      </x:c>
      <x:c r="AC20" s="26" t="n">
        <x:v>-531.0060000000001</x:v>
      </x:c>
      <x:c r="AD20" s="26" t="n">
        <x:v>-532.2823</x:v>
      </x:c>
      <x:c r="AE20" s="26" t="str">
        <x:v>mol_01999</x:v>
      </x:c>
      <x:c r="AF20" s="26" t="str">
        <x:v>OK</x:v>
      </x:c>
      <x:c r="AG20" s="26" t="n">
        <x:v>-127.22</x:v>
      </x:c>
      <x:c r="AH20" s="26" t="n">
        <x:v>-532.28848</x:v>
      </x:c>
    </x:row>
    <x:row r="21">
      <x:c r="A21" t="str">
        <x:v>cbt_006</x:v>
      </x:c>
      <x:c r="B21" t="str">
        <x:v>Heptanoic acid</x:v>
      </x:c>
      <x:c r="C21" t="str">
        <x:v>CCCCCCC(=O)O</x:v>
      </x:c>
      <x:c r="D21" t="str">
        <x:v>PM3</x:v>
      </x:c>
      <x:c r="E21" s="28" t="b">
        <x:v>1</x:v>
      </x:c>
      <x:c r="F21" t="n">
        <x:v>0</x:v>
      </x:c>
      <x:c r="G21" t="n">
        <x:v>1</x:v>
      </x:c>
      <x:c r="H21" t="str">
        <x:v>Pending</x:v>
      </x:c>
      <x:c r="I21" t="str">
        <x:v>NOT_ATTEMPTED</x:v>
      </x:c>
      <x:c r="J21" t="str">
        <x:v>NOT_ATTEMPTED</x:v>
      </x:c>
      <x:c r="K21" t="str">
        <x:v>gfn2</x:v>
      </x:c>
      <x:c r="L21" t="str">
        <x:v>off</x:v>
      </x:c>
      <x:c r="M21" s="26" t="n">
        <x:v>6</x:v>
      </x:c>
      <x:c r="N21" s="26" t="n">
        <x:v>0.125</x:v>
      </x:c>
      <x:c r="O21" t="n">
        <x:v>4</x:v>
      </x:c>
      <x:c r="P21" t="n">
        <x:v>10</x:v>
      </x:c>
      <x:c r="Q21"/>
      <x:c r="R21"/>
      <x:c r="S21"/>
      <x:c r="T21" s="26"/>
      <x:c r="U21" s="26" t="str">
        <x:f>IF(T21="","",T21*4.184)</x:f>
      </x:c>
      <x:c r="V21" s="26"/>
      <x:c r="W21" t="str"/>
      <x:c r="X21" t="str"/>
      <x:c r="Y21" t="str"/>
      <x:c r="Z21" s="26" t="n">
        <x:v>-536.2</x:v>
      </x:c>
      <x:c r="AA21" s="26" t="n">
        <x:v>-538.08</x:v>
      </x:c>
      <x:c r="AB21" s="26" t="n">
        <x:v>-535.169</x:v>
      </x:c>
      <x:c r="AC21" s="26" t="n">
        <x:v>-531.0060000000001</x:v>
      </x:c>
      <x:c r="AD21" s="26" t="n">
        <x:v>-532.2823</x:v>
      </x:c>
      <x:c r="AE21" s="26" t="str">
        <x:v>mol_01999</x:v>
      </x:c>
      <x:c r="AF21" s="26" t="str">
        <x:v>OK</x:v>
      </x:c>
      <x:c r="AG21" s="26" t="n">
        <x:v>-127.22</x:v>
      </x:c>
      <x:c r="AH21" s="26" t="n">
        <x:v>-532.28848</x:v>
      </x:c>
    </x:row>
    <x:row r="22">
      <x:c r="A22" t="str">
        <x:v>cbt_006</x:v>
      </x:c>
      <x:c r="B22" t="str">
        <x:v>Heptanoic acid</x:v>
      </x:c>
      <x:c r="C22" t="str">
        <x:v>CCCCCCC(=O)O</x:v>
      </x:c>
      <x:c r="D22" t="str">
        <x:v>PM7</x:v>
      </x:c>
      <x:c r="E22" s="28" t="b">
        <x:v>1</x:v>
      </x:c>
      <x:c r="F22" t="n">
        <x:v>0</x:v>
      </x:c>
      <x:c r="G22" t="n">
        <x:v>1</x:v>
      </x:c>
      <x:c r="H22" t="str">
        <x:v>Pending</x:v>
      </x:c>
      <x:c r="I22" t="str">
        <x:v>NOT_ATTEMPTED</x:v>
      </x:c>
      <x:c r="J22" t="str">
        <x:v>NOT_ATTEMPTED</x:v>
      </x:c>
      <x:c r="K22" t="str">
        <x:v>gfn2</x:v>
      </x:c>
      <x:c r="L22" t="str">
        <x:v>off</x:v>
      </x:c>
      <x:c r="M22" s="26" t="n">
        <x:v>6</x:v>
      </x:c>
      <x:c r="N22" s="26" t="n">
        <x:v>0.125</x:v>
      </x:c>
      <x:c r="O22" t="n">
        <x:v>4</x:v>
      </x:c>
      <x:c r="P22" t="n">
        <x:v>10</x:v>
      </x:c>
      <x:c r="Q22"/>
      <x:c r="R22"/>
      <x:c r="S22"/>
      <x:c r="T22" s="26"/>
      <x:c r="U22" s="26" t="str">
        <x:f>IF(T22="","",T22*4.184)</x:f>
      </x:c>
      <x:c r="V22" s="26"/>
      <x:c r="W22" t="str"/>
      <x:c r="X22" t="str"/>
      <x:c r="Y22" t="str"/>
      <x:c r="Z22" s="26" t="n">
        <x:v>-536.2</x:v>
      </x:c>
      <x:c r="AA22" s="26" t="n">
        <x:v>-538.08</x:v>
      </x:c>
      <x:c r="AB22" s="26" t="n">
        <x:v>-535.169</x:v>
      </x:c>
      <x:c r="AC22" s="26" t="n">
        <x:v>-531.0060000000001</x:v>
      </x:c>
      <x:c r="AD22" s="26" t="n">
        <x:v>-532.2823</x:v>
      </x:c>
      <x:c r="AE22" s="26" t="str">
        <x:v>mol_01999</x:v>
      </x:c>
      <x:c r="AF22" s="26" t="str">
        <x:v>OK</x:v>
      </x:c>
      <x:c r="AG22" s="26" t="n">
        <x:v>-127.22</x:v>
      </x:c>
      <x:c r="AH22" s="26" t="n">
        <x:v>-532.28848</x:v>
      </x:c>
    </x:row>
    <x:row r="23">
      <x:c r="A23" t="str">
        <x:v>cbt_007</x:v>
      </x:c>
      <x:c r="B23" t="str">
        <x:v>Octanoic acid</x:v>
      </x:c>
      <x:c r="C23" t="str">
        <x:v>CCCCCCCC(=O)O</x:v>
      </x:c>
      <x:c r="D23" t="str">
        <x:v>AM1</x:v>
      </x:c>
      <x:c r="E23" s="28" t="b">
        <x:v>1</x:v>
      </x:c>
      <x:c r="F23" t="n">
        <x:v>0</x:v>
      </x:c>
      <x:c r="G23" t="n">
        <x:v>1</x:v>
      </x:c>
      <x:c r="H23" t="str">
        <x:v>Pending</x:v>
      </x:c>
      <x:c r="I23" t="str">
        <x:v>NOT_ATTEMPTED</x:v>
      </x:c>
      <x:c r="J23" t="str">
        <x:v>NOT_ATTEMPTED</x:v>
      </x:c>
      <x:c r="K23" t="str">
        <x:v>gfn2</x:v>
      </x:c>
      <x:c r="L23" t="str">
        <x:v>off</x:v>
      </x:c>
      <x:c r="M23" s="26" t="n">
        <x:v>6</x:v>
      </x:c>
      <x:c r="N23" s="26" t="n">
        <x:v>0.125</x:v>
      </x:c>
      <x:c r="O23" t="n">
        <x:v>4</x:v>
      </x:c>
      <x:c r="P23" t="n">
        <x:v>10</x:v>
      </x:c>
      <x:c r="Q23"/>
      <x:c r="R23"/>
      <x:c r="S23"/>
      <x:c r="T23" s="26"/>
      <x:c r="U23" s="26" t="str">
        <x:f>IF(T23="","",T23*4.184)</x:f>
      </x:c>
      <x:c r="V23" s="26"/>
      <x:c r="W23" t="str"/>
      <x:c r="X23" t="str"/>
      <x:c r="Y23" t="str"/>
      <x:c r="Z23" s="26" t="n">
        <x:v>-556</x:v>
      </x:c>
      <x:c r="AA23" s="26" t="n">
        <x:v>-558.72</x:v>
      </x:c>
      <x:c r="AB23" s="26" t="n">
        <x:v>-555.932</x:v>
      </x:c>
      <x:c r="AC23" s="26" t="n">
        <x:v>-551.835</x:v>
      </x:c>
      <x:c r="AD23" s="26" t="n">
        <x:v>-553.67659</x:v>
      </x:c>
      <x:c r="AE23" s="26" t="str">
        <x:v>mol_02526</x:v>
      </x:c>
      <x:c r="AF23" s="26" t="str">
        <x:v>Pending</x:v>
      </x:c>
      <x:c r="AG23" s="26"/>
      <x:c r="AH23" s="26"/>
    </x:row>
    <x:row r="24">
      <x:c r="A24" t="str">
        <x:v>cbt_007</x:v>
      </x:c>
      <x:c r="B24" t="str">
        <x:v>Octanoic acid</x:v>
      </x:c>
      <x:c r="C24" t="str">
        <x:v>CCCCCCCC(=O)O</x:v>
      </x:c>
      <x:c r="D24" t="str">
        <x:v>PM3</x:v>
      </x:c>
      <x:c r="E24" s="28" t="b">
        <x:v>1</x:v>
      </x:c>
      <x:c r="F24" t="n">
        <x:v>0</x:v>
      </x:c>
      <x:c r="G24" t="n">
        <x:v>1</x:v>
      </x:c>
      <x:c r="H24" t="str">
        <x:v>Pending</x:v>
      </x:c>
      <x:c r="I24" t="str">
        <x:v>NOT_ATTEMPTED</x:v>
      </x:c>
      <x:c r="J24" t="str">
        <x:v>NOT_ATTEMPTED</x:v>
      </x:c>
      <x:c r="K24" t="str">
        <x:v>gfn2</x:v>
      </x:c>
      <x:c r="L24" t="str">
        <x:v>off</x:v>
      </x:c>
      <x:c r="M24" s="26" t="n">
        <x:v>6</x:v>
      </x:c>
      <x:c r="N24" s="26" t="n">
        <x:v>0.125</x:v>
      </x:c>
      <x:c r="O24" t="n">
        <x:v>4</x:v>
      </x:c>
      <x:c r="P24" t="n">
        <x:v>10</x:v>
      </x:c>
      <x:c r="Q24"/>
      <x:c r="R24"/>
      <x:c r="S24"/>
      <x:c r="T24" s="26"/>
      <x:c r="U24" s="26" t="str">
        <x:f>IF(T24="","",T24*4.184)</x:f>
      </x:c>
      <x:c r="V24" s="26"/>
      <x:c r="W24" t="str"/>
      <x:c r="X24" t="str"/>
      <x:c r="Y24" t="str"/>
      <x:c r="Z24" s="26" t="n">
        <x:v>-556</x:v>
      </x:c>
      <x:c r="AA24" s="26" t="n">
        <x:v>-558.72</x:v>
      </x:c>
      <x:c r="AB24" s="26" t="n">
        <x:v>-555.932</x:v>
      </x:c>
      <x:c r="AC24" s="26" t="n">
        <x:v>-551.835</x:v>
      </x:c>
      <x:c r="AD24" s="26" t="n">
        <x:v>-553.67659</x:v>
      </x:c>
      <x:c r="AE24" s="26" t="str">
        <x:v>mol_02526</x:v>
      </x:c>
      <x:c r="AF24" s="26" t="str">
        <x:v>Pending</x:v>
      </x:c>
      <x:c r="AG24" s="26"/>
      <x:c r="AH24" s="26"/>
    </x:row>
    <x:row r="25">
      <x:c r="A25" t="str">
        <x:v>cbt_007</x:v>
      </x:c>
      <x:c r="B25" t="str">
        <x:v>Octanoic acid</x:v>
      </x:c>
      <x:c r="C25" t="str">
        <x:v>CCCCCCCC(=O)O</x:v>
      </x:c>
      <x:c r="D25" t="str">
        <x:v>PM7</x:v>
      </x:c>
      <x:c r="E25" s="28" t="b">
        <x:v>1</x:v>
      </x:c>
      <x:c r="F25" t="n">
        <x:v>0</x:v>
      </x:c>
      <x:c r="G25" t="n">
        <x:v>1</x:v>
      </x:c>
      <x:c r="H25" t="str">
        <x:v>Pending</x:v>
      </x:c>
      <x:c r="I25" t="str">
        <x:v>NOT_ATTEMPTED</x:v>
      </x:c>
      <x:c r="J25" t="str">
        <x:v>NOT_ATTEMPTED</x:v>
      </x:c>
      <x:c r="K25" t="str">
        <x:v>gfn2</x:v>
      </x:c>
      <x:c r="L25" t="str">
        <x:v>off</x:v>
      </x:c>
      <x:c r="M25" s="26" t="n">
        <x:v>6</x:v>
      </x:c>
      <x:c r="N25" s="26" t="n">
        <x:v>0.125</x:v>
      </x:c>
      <x:c r="O25" t="n">
        <x:v>4</x:v>
      </x:c>
      <x:c r="P25" t="n">
        <x:v>10</x:v>
      </x:c>
      <x:c r="Q25"/>
      <x:c r="R25"/>
      <x:c r="S25"/>
      <x:c r="T25" s="26"/>
      <x:c r="U25" s="26" t="str">
        <x:f>IF(T25="","",T25*4.184)</x:f>
      </x:c>
      <x:c r="V25" s="26"/>
      <x:c r="W25" t="str"/>
      <x:c r="X25" t="str"/>
      <x:c r="Y25" t="str"/>
      <x:c r="Z25" s="26" t="n">
        <x:v>-556</x:v>
      </x:c>
      <x:c r="AA25" s="26" t="n">
        <x:v>-558.72</x:v>
      </x:c>
      <x:c r="AB25" s="26" t="n">
        <x:v>-555.932</x:v>
      </x:c>
      <x:c r="AC25" s="26" t="n">
        <x:v>-551.835</x:v>
      </x:c>
      <x:c r="AD25" s="26" t="n">
        <x:v>-553.67659</x:v>
      </x:c>
      <x:c r="AE25" s="26" t="str">
        <x:v>mol_02526</x:v>
      </x:c>
      <x:c r="AF25" s="26" t="str">
        <x:v>Pending</x:v>
      </x:c>
      <x:c r="AG25" s="26"/>
      <x:c r="AH25" s="26"/>
    </x:row>
    <x:row r="26">
      <x:c r="A26" t="str">
        <x:v>cbt_008</x:v>
      </x:c>
      <x:c r="B26" t="str">
        <x:v>Dodecanoic acid</x:v>
      </x:c>
      <x:c r="C26" t="str">
        <x:v>CCCCCCCCCCCC(=O)O</x:v>
      </x:c>
      <x:c r="D26" t="str">
        <x:v>AM1</x:v>
      </x:c>
      <x:c r="E26" s="28" t="b">
        <x:v>1</x:v>
      </x:c>
      <x:c r="F26" t="n">
        <x:v>0</x:v>
      </x:c>
      <x:c r="G26" t="n">
        <x:v>1</x:v>
      </x:c>
      <x:c r="H26" t="str">
        <x:v>Pending</x:v>
      </x:c>
      <x:c r="I26" t="str">
        <x:v>NOT_ATTEMPTED</x:v>
      </x:c>
      <x:c r="J26" t="str">
        <x:v>NOT_ATTEMPTED</x:v>
      </x:c>
      <x:c r="K26" t="str">
        <x:v>gfn2</x:v>
      </x:c>
      <x:c r="L26" t="str">
        <x:v>off</x:v>
      </x:c>
      <x:c r="M26" s="26" t="n">
        <x:v>6</x:v>
      </x:c>
      <x:c r="N26" s="26" t="n">
        <x:v>0.125</x:v>
      </x:c>
      <x:c r="O26" t="n">
        <x:v>4</x:v>
      </x:c>
      <x:c r="P26" t="n">
        <x:v>10</x:v>
      </x:c>
      <x:c r="Q26"/>
      <x:c r="R26"/>
      <x:c r="S26"/>
      <x:c r="T26" s="26"/>
      <x:c r="U26" s="26" t="str">
        <x:f>IF(T26="","",T26*4.184)</x:f>
      </x:c>
      <x:c r="V26" s="26"/>
      <x:c r="W26" t="str"/>
      <x:c r="X26" t="str"/>
      <x:c r="Y26" t="str"/>
      <x:c r="Z26" s="26" t="n">
        <x:v>-642</x:v>
      </x:c>
      <x:c r="AA26" s="26" t="n">
        <x:v>-641.2800000000001</x:v>
      </x:c>
      <x:c r="AB26" s="26" t="n">
        <x:v>-638.984</x:v>
      </x:c>
      <x:c r="AC26" s="26" t="n">
        <x:v>-635.1510000000001</x:v>
      </x:c>
      <x:c r="AD26" s="26" t="n">
        <x:v>-636.75846</x:v>
      </x:c>
      <x:c r="AE26" s="26" t="str">
        <x:v>mol_19014</x:v>
      </x:c>
      <x:c r="AF26" s="26" t="str">
        <x:v>Pending</x:v>
      </x:c>
      <x:c r="AG26" s="26"/>
      <x:c r="AH26" s="26"/>
    </x:row>
    <x:row r="27">
      <x:c r="A27" t="str">
        <x:v>cbt_008</x:v>
      </x:c>
      <x:c r="B27" t="str">
        <x:v>Dodecanoic acid</x:v>
      </x:c>
      <x:c r="C27" t="str">
        <x:v>CCCCCCCCCCCC(=O)O</x:v>
      </x:c>
      <x:c r="D27" t="str">
        <x:v>PM3</x:v>
      </x:c>
      <x:c r="E27" s="28" t="b">
        <x:v>1</x:v>
      </x:c>
      <x:c r="F27" t="n">
        <x:v>0</x:v>
      </x:c>
      <x:c r="G27" t="n">
        <x:v>1</x:v>
      </x:c>
      <x:c r="H27" t="str">
        <x:v>Pending</x:v>
      </x:c>
      <x:c r="I27" t="str">
        <x:v>NOT_ATTEMPTED</x:v>
      </x:c>
      <x:c r="J27" t="str">
        <x:v>NOT_ATTEMPTED</x:v>
      </x:c>
      <x:c r="K27" t="str">
        <x:v>gfn2</x:v>
      </x:c>
      <x:c r="L27" t="str">
        <x:v>off</x:v>
      </x:c>
      <x:c r="M27" s="26" t="n">
        <x:v>6</x:v>
      </x:c>
      <x:c r="N27" s="26" t="n">
        <x:v>0.125</x:v>
      </x:c>
      <x:c r="O27" t="n">
        <x:v>4</x:v>
      </x:c>
      <x:c r="P27" t="n">
        <x:v>10</x:v>
      </x:c>
      <x:c r="Q27"/>
      <x:c r="R27"/>
      <x:c r="S27"/>
      <x:c r="T27" s="26"/>
      <x:c r="U27" s="26" t="str">
        <x:f>IF(T27="","",T27*4.184)</x:f>
      </x:c>
      <x:c r="V27" s="26"/>
      <x:c r="W27" t="str"/>
      <x:c r="X27" t="str"/>
      <x:c r="Y27" t="str"/>
      <x:c r="Z27" s="26" t="n">
        <x:v>-642</x:v>
      </x:c>
      <x:c r="AA27" s="26" t="n">
        <x:v>-641.2800000000001</x:v>
      </x:c>
      <x:c r="AB27" s="26" t="n">
        <x:v>-638.984</x:v>
      </x:c>
      <x:c r="AC27" s="26" t="n">
        <x:v>-635.1510000000001</x:v>
      </x:c>
      <x:c r="AD27" s="26" t="n">
        <x:v>-636.75846</x:v>
      </x:c>
      <x:c r="AE27" s="26" t="str">
        <x:v>mol_19014</x:v>
      </x:c>
      <x:c r="AF27" s="26" t="str">
        <x:v>Pending</x:v>
      </x:c>
      <x:c r="AG27" s="26"/>
      <x:c r="AH27" s="26"/>
    </x:row>
    <x:row r="28">
      <x:c r="A28" t="str">
        <x:v>cbt_008</x:v>
      </x:c>
      <x:c r="B28" t="str">
        <x:v>Dodecanoic acid</x:v>
      </x:c>
      <x:c r="C28" t="str">
        <x:v>CCCCCCCCCCCC(=O)O</x:v>
      </x:c>
      <x:c r="D28" t="str">
        <x:v>PM7</x:v>
      </x:c>
      <x:c r="E28" s="28" t="b">
        <x:v>1</x:v>
      </x:c>
      <x:c r="F28" t="n">
        <x:v>0</x:v>
      </x:c>
      <x:c r="G28" t="n">
        <x:v>1</x:v>
      </x:c>
      <x:c r="H28" t="str">
        <x:v>Pending</x:v>
      </x:c>
      <x:c r="I28" t="str">
        <x:v>NOT_ATTEMPTED</x:v>
      </x:c>
      <x:c r="J28" t="str">
        <x:v>NOT_ATTEMPTED</x:v>
      </x:c>
      <x:c r="K28" t="str">
        <x:v>gfn2</x:v>
      </x:c>
      <x:c r="L28" t="str">
        <x:v>off</x:v>
      </x:c>
      <x:c r="M28" s="26" t="n">
        <x:v>6</x:v>
      </x:c>
      <x:c r="N28" s="26" t="n">
        <x:v>0.125</x:v>
      </x:c>
      <x:c r="O28" t="n">
        <x:v>4</x:v>
      </x:c>
      <x:c r="P28" t="n">
        <x:v>10</x:v>
      </x:c>
      <x:c r="Q28"/>
      <x:c r="R28"/>
      <x:c r="S28"/>
      <x:c r="T28" s="26"/>
      <x:c r="U28" s="26" t="str">
        <x:f>IF(T28="","",T28*4.184)</x:f>
      </x:c>
      <x:c r="V28" s="26"/>
      <x:c r="W28" t="str"/>
      <x:c r="X28" t="str"/>
      <x:c r="Y28" t="str"/>
      <x:c r="Z28" s="26" t="n">
        <x:v>-642</x:v>
      </x:c>
      <x:c r="AA28" s="26" t="n">
        <x:v>-641.2800000000001</x:v>
      </x:c>
      <x:c r="AB28" s="26" t="n">
        <x:v>-638.984</x:v>
      </x:c>
      <x:c r="AC28" s="26" t="n">
        <x:v>-635.1510000000001</x:v>
      </x:c>
      <x:c r="AD28" s="26" t="n">
        <x:v>-636.75846</x:v>
      </x:c>
      <x:c r="AE28" s="26" t="str">
        <x:v>mol_19014</x:v>
      </x:c>
      <x:c r="AF28" s="26" t="str">
        <x:v>Pending</x:v>
      </x:c>
      <x:c r="AG28" s="26"/>
      <x:c r="AH28" s="26"/>
    </x:row>
    <x:row r="29">
      <x:c r="A29" t="str">
        <x:v>cbt_009</x:v>
      </x:c>
      <x:c r="B29" t="str">
        <x:v>Tetradecanoic acid</x:v>
      </x:c>
      <x:c r="C29" t="str">
        <x:v>CCCCCCCCCCCCCC(=O)O</x:v>
      </x:c>
      <x:c r="D29" t="str">
        <x:v>AM1</x:v>
      </x:c>
      <x:c r="E29" s="28" t="b">
        <x:v>1</x:v>
      </x:c>
      <x:c r="F29" t="n">
        <x:v>0</x:v>
      </x:c>
      <x:c r="G29" t="n">
        <x:v>1</x:v>
      </x:c>
      <x:c r="H29" t="str">
        <x:v>Pending</x:v>
      </x:c>
      <x:c r="I29" t="str">
        <x:v>NOT_ATTEMPTED</x:v>
      </x:c>
      <x:c r="J29" t="str">
        <x:v>NOT_ATTEMPTED</x:v>
      </x:c>
      <x:c r="K29" t="str">
        <x:v>gfn2</x:v>
      </x:c>
      <x:c r="L29" t="str">
        <x:v>off</x:v>
      </x:c>
      <x:c r="M29" s="26" t="n">
        <x:v>6</x:v>
      </x:c>
      <x:c r="N29" s="26" t="n">
        <x:v>0.125</x:v>
      </x:c>
      <x:c r="O29" t="n">
        <x:v>4</x:v>
      </x:c>
      <x:c r="P29" t="n">
        <x:v>10</x:v>
      </x:c>
      <x:c r="Q29"/>
      <x:c r="R29"/>
      <x:c r="S29"/>
      <x:c r="T29" s="26"/>
      <x:c r="U29" s="26" t="str">
        <x:f>IF(T29="","",T29*4.184)</x:f>
      </x:c>
      <x:c r="V29" s="26"/>
      <x:c r="W29" t="str"/>
      <x:c r="X29" t="str"/>
      <x:c r="Y29" t="str"/>
      <x:c r="Z29" s="26" t="n">
        <x:v>-693.7</x:v>
      </x:c>
      <x:c r="AA29" s="26" t="n">
        <x:v>-682.5600000000001</x:v>
      </x:c>
      <x:c r="AB29" s="26" t="n">
        <x:v>-680.51</x:v>
      </x:c>
      <x:c r="AC29" s="26" t="n">
        <x:v>-676.809</x:v>
      </x:c>
      <x:c r="AD29" s="26" t="n">
        <x:v>-678.95566</x:v>
      </x:c>
      <x:c r="AE29" s="26" t="str"/>
      <x:c r="AF29" s="26" t="str"/>
      <x:c r="AG29" s="26"/>
      <x:c r="AH29" s="26"/>
    </x:row>
    <x:row r="30">
      <x:c r="A30" t="str">
        <x:v>cbt_009</x:v>
      </x:c>
      <x:c r="B30" t="str">
        <x:v>Tetradecanoic acid</x:v>
      </x:c>
      <x:c r="C30" t="str">
        <x:v>CCCCCCCCCCCCCC(=O)O</x:v>
      </x:c>
      <x:c r="D30" t="str">
        <x:v>PM3</x:v>
      </x:c>
      <x:c r="E30" s="28" t="b">
        <x:v>1</x:v>
      </x:c>
      <x:c r="F30" t="n">
        <x:v>0</x:v>
      </x:c>
      <x:c r="G30" t="n">
        <x:v>1</x:v>
      </x:c>
      <x:c r="H30" t="str">
        <x:v>Pending</x:v>
      </x:c>
      <x:c r="I30" t="str">
        <x:v>NOT_ATTEMPTED</x:v>
      </x:c>
      <x:c r="J30" t="str">
        <x:v>NOT_ATTEMPTED</x:v>
      </x:c>
      <x:c r="K30" t="str">
        <x:v>gfn2</x:v>
      </x:c>
      <x:c r="L30" t="str">
        <x:v>off</x:v>
      </x:c>
      <x:c r="M30" s="26" t="n">
        <x:v>6</x:v>
      </x:c>
      <x:c r="N30" s="26" t="n">
        <x:v>0.125</x:v>
      </x:c>
      <x:c r="O30" t="n">
        <x:v>4</x:v>
      </x:c>
      <x:c r="P30" t="n">
        <x:v>10</x:v>
      </x:c>
      <x:c r="Q30"/>
      <x:c r="R30"/>
      <x:c r="S30"/>
      <x:c r="T30" s="26"/>
      <x:c r="U30" s="26" t="str">
        <x:f>IF(T30="","",T30*4.184)</x:f>
      </x:c>
      <x:c r="V30" s="26"/>
      <x:c r="W30" t="str"/>
      <x:c r="X30" t="str"/>
      <x:c r="Y30" t="str"/>
      <x:c r="Z30" s="26" t="n">
        <x:v>-693.7</x:v>
      </x:c>
      <x:c r="AA30" s="26" t="n">
        <x:v>-682.5600000000001</x:v>
      </x:c>
      <x:c r="AB30" s="26" t="n">
        <x:v>-680.51</x:v>
      </x:c>
      <x:c r="AC30" s="26" t="n">
        <x:v>-676.809</x:v>
      </x:c>
      <x:c r="AD30" s="26" t="n">
        <x:v>-678.95566</x:v>
      </x:c>
      <x:c r="AE30" s="26" t="str"/>
      <x:c r="AF30" s="26" t="str"/>
      <x:c r="AG30" s="26"/>
      <x:c r="AH30" s="26"/>
    </x:row>
    <x:row r="31">
      <x:c r="A31" t="str">
        <x:v>cbt_009</x:v>
      </x:c>
      <x:c r="B31" t="str">
        <x:v>Tetradecanoic acid</x:v>
      </x:c>
      <x:c r="C31" t="str">
        <x:v>CCCCCCCCCCCCCC(=O)O</x:v>
      </x:c>
      <x:c r="D31" t="str">
        <x:v>PM7</x:v>
      </x:c>
      <x:c r="E31" s="28" t="b">
        <x:v>1</x:v>
      </x:c>
      <x:c r="F31" t="n">
        <x:v>0</x:v>
      </x:c>
      <x:c r="G31" t="n">
        <x:v>1</x:v>
      </x:c>
      <x:c r="H31" t="str">
        <x:v>Pending</x:v>
      </x:c>
      <x:c r="I31" t="str">
        <x:v>NOT_ATTEMPTED</x:v>
      </x:c>
      <x:c r="J31" t="str">
        <x:v>NOT_ATTEMPTED</x:v>
      </x:c>
      <x:c r="K31" t="str">
        <x:v>gfn2</x:v>
      </x:c>
      <x:c r="L31" t="str">
        <x:v>off</x:v>
      </x:c>
      <x:c r="M31" s="26" t="n">
        <x:v>6</x:v>
      </x:c>
      <x:c r="N31" s="26" t="n">
        <x:v>0.125</x:v>
      </x:c>
      <x:c r="O31" t="n">
        <x:v>4</x:v>
      </x:c>
      <x:c r="P31" t="n">
        <x:v>10</x:v>
      </x:c>
      <x:c r="Q31"/>
      <x:c r="R31"/>
      <x:c r="S31"/>
      <x:c r="T31" s="26"/>
      <x:c r="U31" s="26" t="str">
        <x:f>IF(T31="","",T31*4.184)</x:f>
      </x:c>
      <x:c r="V31" s="26"/>
      <x:c r="W31" t="str"/>
      <x:c r="X31" t="str"/>
      <x:c r="Y31" t="str"/>
      <x:c r="Z31" s="26" t="n">
        <x:v>-693.7</x:v>
      </x:c>
      <x:c r="AA31" s="26" t="n">
        <x:v>-682.5600000000001</x:v>
      </x:c>
      <x:c r="AB31" s="26" t="n">
        <x:v>-680.51</x:v>
      </x:c>
      <x:c r="AC31" s="26" t="n">
        <x:v>-676.809</x:v>
      </x:c>
      <x:c r="AD31" s="26" t="n">
        <x:v>-678.95566</x:v>
      </x:c>
      <x:c r="AE31" s="26" t="str"/>
      <x:c r="AF31" s="26" t="str"/>
      <x:c r="AG31" s="26"/>
      <x:c r="AH31" s="26"/>
    </x:row>
    <x:row r="32">
      <x:c r="A32" t="str">
        <x:v>cbt_010</x:v>
      </x:c>
      <x:c r="B32" t="str">
        <x:v>Hexadecanoic acid</x:v>
      </x:c>
      <x:c r="C32" t="str">
        <x:v>CCCCCCCCCCCCCCCC(=O)O</x:v>
      </x:c>
      <x:c r="D32" t="str">
        <x:v>AM1</x:v>
      </x:c>
      <x:c r="E32" s="28" t="b">
        <x:v>1</x:v>
      </x:c>
      <x:c r="F32" t="n">
        <x:v>0</x:v>
      </x:c>
      <x:c r="G32" t="n">
        <x:v>1</x:v>
      </x:c>
      <x:c r="H32" t="str">
        <x:v>Pending</x:v>
      </x:c>
      <x:c r="I32" t="str">
        <x:v>NOT_ATTEMPTED</x:v>
      </x:c>
      <x:c r="J32" t="str">
        <x:v>NOT_ATTEMPTED</x:v>
      </x:c>
      <x:c r="K32" t="str">
        <x:v>gfn2</x:v>
      </x:c>
      <x:c r="L32" t="str">
        <x:v>off</x:v>
      </x:c>
      <x:c r="M32" s="26" t="n">
        <x:v>6</x:v>
      </x:c>
      <x:c r="N32" s="26" t="n">
        <x:v>0.125</x:v>
      </x:c>
      <x:c r="O32" t="n">
        <x:v>4</x:v>
      </x:c>
      <x:c r="P32" t="n">
        <x:v>10</x:v>
      </x:c>
      <x:c r="Q32"/>
      <x:c r="R32"/>
      <x:c r="S32"/>
      <x:c r="T32" s="26"/>
      <x:c r="U32" s="26" t="str">
        <x:f>IF(T32="","",T32*4.184)</x:f>
      </x:c>
      <x:c r="V32" s="26"/>
      <x:c r="W32" t="str"/>
      <x:c r="X32" t="str"/>
      <x:c r="Y32" t="str"/>
      <x:c r="Z32" s="26" t="n">
        <x:v>-737.1</x:v>
      </x:c>
      <x:c r="AA32" s="26" t="n">
        <x:v>-723.8400000000001</x:v>
      </x:c>
      <x:c r="AB32" s="26" t="n">
        <x:v>-722.0360000000001</x:v>
      </x:c>
      <x:c r="AC32" s="26" t="n">
        <x:v>-718.467</x:v>
      </x:c>
      <x:c r="AD32" s="26" t="n">
        <x:v>-721.25162</x:v>
      </x:c>
      <x:c r="AE32" s="26" t="str">
        <x:v>mol_19005</x:v>
      </x:c>
      <x:c r="AF32" s="26" t="str">
        <x:v>Pending</x:v>
      </x:c>
      <x:c r="AG32" s="26"/>
      <x:c r="AH32" s="26"/>
    </x:row>
    <x:row r="33">
      <x:c r="A33" t="str">
        <x:v>cbt_010</x:v>
      </x:c>
      <x:c r="B33" t="str">
        <x:v>Hexadecanoic acid</x:v>
      </x:c>
      <x:c r="C33" t="str">
        <x:v>CCCCCCCCCCCCCCCC(=O)O</x:v>
      </x:c>
      <x:c r="D33" t="str">
        <x:v>PM3</x:v>
      </x:c>
      <x:c r="E33" s="28" t="b">
        <x:v>1</x:v>
      </x:c>
      <x:c r="F33" t="n">
        <x:v>0</x:v>
      </x:c>
      <x:c r="G33" t="n">
        <x:v>1</x:v>
      </x:c>
      <x:c r="H33" t="str">
        <x:v>Pending</x:v>
      </x:c>
      <x:c r="I33" t="str">
        <x:v>NOT_ATTEMPTED</x:v>
      </x:c>
      <x:c r="J33" t="str">
        <x:v>NOT_ATTEMPTED</x:v>
      </x:c>
      <x:c r="K33" t="str">
        <x:v>gfn2</x:v>
      </x:c>
      <x:c r="L33" t="str">
        <x:v>off</x:v>
      </x:c>
      <x:c r="M33" s="26" t="n">
        <x:v>6</x:v>
      </x:c>
      <x:c r="N33" s="26" t="n">
        <x:v>0.125</x:v>
      </x:c>
      <x:c r="O33" t="n">
        <x:v>4</x:v>
      </x:c>
      <x:c r="P33" t="n">
        <x:v>10</x:v>
      </x:c>
      <x:c r="Q33"/>
      <x:c r="R33"/>
      <x:c r="S33"/>
      <x:c r="T33" s="26"/>
      <x:c r="U33" s="26" t="str">
        <x:f>IF(T33="","",T33*4.184)</x:f>
      </x:c>
      <x:c r="V33" s="26"/>
      <x:c r="W33" t="str"/>
      <x:c r="X33" t="str"/>
      <x:c r="Y33" t="str"/>
      <x:c r="Z33" s="26" t="n">
        <x:v>-737.1</x:v>
      </x:c>
      <x:c r="AA33" s="26" t="n">
        <x:v>-723.8400000000001</x:v>
      </x:c>
      <x:c r="AB33" s="26" t="n">
        <x:v>-722.0360000000001</x:v>
      </x:c>
      <x:c r="AC33" s="26" t="n">
        <x:v>-718.467</x:v>
      </x:c>
      <x:c r="AD33" s="26" t="n">
        <x:v>-721.25162</x:v>
      </x:c>
      <x:c r="AE33" s="26" t="str">
        <x:v>mol_19005</x:v>
      </x:c>
      <x:c r="AF33" s="26" t="str">
        <x:v>Pending</x:v>
      </x:c>
      <x:c r="AG33" s="26"/>
      <x:c r="AH33" s="26"/>
    </x:row>
    <x:row r="34">
      <x:c r="A34" t="str">
        <x:v>cbt_010</x:v>
      </x:c>
      <x:c r="B34" t="str">
        <x:v>Hexadecanoic acid</x:v>
      </x:c>
      <x:c r="C34" t="str">
        <x:v>CCCCCCCCCCCCCCCC(=O)O</x:v>
      </x:c>
      <x:c r="D34" t="str">
        <x:v>PM7</x:v>
      </x:c>
      <x:c r="E34" s="28" t="b">
        <x:v>1</x:v>
      </x:c>
      <x:c r="F34" t="n">
        <x:v>0</x:v>
      </x:c>
      <x:c r="G34" t="n">
        <x:v>1</x:v>
      </x:c>
      <x:c r="H34" t="str">
        <x:v>Pending</x:v>
      </x:c>
      <x:c r="I34" t="str">
        <x:v>NOT_ATTEMPTED</x:v>
      </x:c>
      <x:c r="J34" t="str">
        <x:v>NOT_ATTEMPTED</x:v>
      </x:c>
      <x:c r="K34" t="str">
        <x:v>gfn2</x:v>
      </x:c>
      <x:c r="L34" t="str">
        <x:v>off</x:v>
      </x:c>
      <x:c r="M34" s="26" t="n">
        <x:v>6</x:v>
      </x:c>
      <x:c r="N34" s="26" t="n">
        <x:v>0.125</x:v>
      </x:c>
      <x:c r="O34" t="n">
        <x:v>4</x:v>
      </x:c>
      <x:c r="P34" t="n">
        <x:v>10</x:v>
      </x:c>
      <x:c r="Q34"/>
      <x:c r="R34"/>
      <x:c r="S34"/>
      <x:c r="T34" s="26"/>
      <x:c r="U34" s="26" t="str">
        <x:f>IF(T34="","",T34*4.184)</x:f>
      </x:c>
      <x:c r="V34" s="26"/>
      <x:c r="W34" t="str"/>
      <x:c r="X34" t="str"/>
      <x:c r="Y34" t="str"/>
      <x:c r="Z34" s="26" t="n">
        <x:v>-737.1</x:v>
      </x:c>
      <x:c r="AA34" s="26" t="n">
        <x:v>-723.8400000000001</x:v>
      </x:c>
      <x:c r="AB34" s="26" t="n">
        <x:v>-722.0360000000001</x:v>
      </x:c>
      <x:c r="AC34" s="26" t="n">
        <x:v>-718.467</x:v>
      </x:c>
      <x:c r="AD34" s="26" t="n">
        <x:v>-721.25162</x:v>
      </x:c>
      <x:c r="AE34" s="26" t="str">
        <x:v>mol_19005</x:v>
      </x:c>
      <x:c r="AF34" s="26" t="str">
        <x:v>Pending</x:v>
      </x:c>
      <x:c r="AG34" s="26"/>
      <x:c r="AH34" s="26"/>
    </x:row>
    <x:row r="35">
      <x:c r="A35" t="str">
        <x:v>cbt_011</x:v>
      </x:c>
      <x:c r="B35" t="str">
        <x:v>Methanol</x:v>
      </x:c>
      <x:c r="C35" t="str">
        <x:v>CO</x:v>
      </x:c>
      <x:c r="D35" t="str">
        <x:v>AM1</x:v>
      </x:c>
      <x:c r="E35" s="28" t="b">
        <x:v>1</x:v>
      </x:c>
      <x:c r="F35" t="n">
        <x:v>0</x:v>
      </x:c>
      <x:c r="G35" t="n">
        <x:v>1</x:v>
      </x:c>
      <x:c r="H35" t="str">
        <x:v>Pending</x:v>
      </x:c>
      <x:c r="I35" t="str">
        <x:v>NOT_ATTEMPTED</x:v>
      </x:c>
      <x:c r="J35" t="str">
        <x:v>NOT_ATTEMPTED</x:v>
      </x:c>
      <x:c r="K35" t="str">
        <x:v>gfn2</x:v>
      </x:c>
      <x:c r="L35" t="str">
        <x:v>off</x:v>
      </x:c>
      <x:c r="M35" s="26" t="n">
        <x:v>6</x:v>
      </x:c>
      <x:c r="N35" s="26" t="n">
        <x:v>0.125</x:v>
      </x:c>
      <x:c r="O35" t="n">
        <x:v>4</x:v>
      </x:c>
      <x:c r="P35" t="n">
        <x:v>10</x:v>
      </x:c>
      <x:c r="Q35"/>
      <x:c r="R35"/>
      <x:c r="S35"/>
      <x:c r="T35" s="26"/>
      <x:c r="U35" s="26" t="str">
        <x:f>IF(T35="","",T35*4.184)</x:f>
      </x:c>
      <x:c r="V35" s="26"/>
      <x:c r="W35" t="str"/>
      <x:c r="X35" t="str"/>
      <x:c r="Y35" t="str"/>
      <x:c r="Z35" s="26" t="n">
        <x:v>-200.94</x:v>
      </x:c>
      <x:c r="AA35" s="26" t="n">
        <x:v>-216.2</x:v>
      </x:c>
      <x:c r="AB35" s="26" t="n">
        <x:v>-216.534</x:v>
      </x:c>
      <x:c r="AC35" s="26" t="n">
        <x:v>-215.29</x:v>
      </x:c>
      <x:c r="AD35" s="26" t="n">
        <x:v>-204.75825</x:v>
      </x:c>
      <x:c r="AE35" s="26" t="str">
        <x:v>mol_05665</x:v>
      </x:c>
      <x:c r="AF35" s="26" t="str">
        <x:v>Pending</x:v>
      </x:c>
      <x:c r="AG35" s="26"/>
      <x:c r="AH35" s="26"/>
    </x:row>
    <x:row r="36">
      <x:c r="A36" t="str">
        <x:v>cbt_011</x:v>
      </x:c>
      <x:c r="B36" t="str">
        <x:v>Methanol</x:v>
      </x:c>
      <x:c r="C36" t="str">
        <x:v>CO</x:v>
      </x:c>
      <x:c r="D36" t="str">
        <x:v>PM3</x:v>
      </x:c>
      <x:c r="E36" s="28" t="b">
        <x:v>1</x:v>
      </x:c>
      <x:c r="F36" t="n">
        <x:v>0</x:v>
      </x:c>
      <x:c r="G36" t="n">
        <x:v>1</x:v>
      </x:c>
      <x:c r="H36" t="str">
        <x:v>Pending</x:v>
      </x:c>
      <x:c r="I36" t="str">
        <x:v>NOT_ATTEMPTED</x:v>
      </x:c>
      <x:c r="J36" t="str">
        <x:v>NOT_ATTEMPTED</x:v>
      </x:c>
      <x:c r="K36" t="str">
        <x:v>gfn2</x:v>
      </x:c>
      <x:c r="L36" t="str">
        <x:v>off</x:v>
      </x:c>
      <x:c r="M36" s="26" t="n">
        <x:v>6</x:v>
      </x:c>
      <x:c r="N36" s="26" t="n">
        <x:v>0.125</x:v>
      </x:c>
      <x:c r="O36" t="n">
        <x:v>4</x:v>
      </x:c>
      <x:c r="P36" t="n">
        <x:v>10</x:v>
      </x:c>
      <x:c r="Q36"/>
      <x:c r="R36"/>
      <x:c r="S36"/>
      <x:c r="T36" s="26"/>
      <x:c r="U36" s="26" t="str">
        <x:f>IF(T36="","",T36*4.184)</x:f>
      </x:c>
      <x:c r="V36" s="26"/>
      <x:c r="W36" t="str"/>
      <x:c r="X36" t="str"/>
      <x:c r="Y36" t="str"/>
      <x:c r="Z36" s="26" t="n">
        <x:v>-200.94</x:v>
      </x:c>
      <x:c r="AA36" s="26" t="n">
        <x:v>-216.2</x:v>
      </x:c>
      <x:c r="AB36" s="26" t="n">
        <x:v>-216.534</x:v>
      </x:c>
      <x:c r="AC36" s="26" t="n">
        <x:v>-215.29</x:v>
      </x:c>
      <x:c r="AD36" s="26" t="n">
        <x:v>-204.75825</x:v>
      </x:c>
      <x:c r="AE36" s="26" t="str">
        <x:v>mol_05665</x:v>
      </x:c>
      <x:c r="AF36" s="26" t="str">
        <x:v>Pending</x:v>
      </x:c>
      <x:c r="AG36" s="26"/>
      <x:c r="AH36" s="26"/>
    </x:row>
    <x:row r="37">
      <x:c r="A37" t="str">
        <x:v>cbt_011</x:v>
      </x:c>
      <x:c r="B37" t="str">
        <x:v>Methanol</x:v>
      </x:c>
      <x:c r="C37" t="str">
        <x:v>CO</x:v>
      </x:c>
      <x:c r="D37" t="str">
        <x:v>PM7</x:v>
      </x:c>
      <x:c r="E37" s="28" t="b">
        <x:v>1</x:v>
      </x:c>
      <x:c r="F37" t="n">
        <x:v>0</x:v>
      </x:c>
      <x:c r="G37" t="n">
        <x:v>1</x:v>
      </x:c>
      <x:c r="H37" t="str">
        <x:v>Pending</x:v>
      </x:c>
      <x:c r="I37" t="str">
        <x:v>NOT_ATTEMPTED</x:v>
      </x:c>
      <x:c r="J37" t="str">
        <x:v>NOT_ATTEMPTED</x:v>
      </x:c>
      <x:c r="K37" t="str">
        <x:v>gfn2</x:v>
      </x:c>
      <x:c r="L37" t="str">
        <x:v>off</x:v>
      </x:c>
      <x:c r="M37" s="26" t="n">
        <x:v>6</x:v>
      </x:c>
      <x:c r="N37" s="26" t="n">
        <x:v>0.125</x:v>
      </x:c>
      <x:c r="O37" t="n">
        <x:v>4</x:v>
      </x:c>
      <x:c r="P37" t="n">
        <x:v>10</x:v>
      </x:c>
      <x:c r="Q37"/>
      <x:c r="R37"/>
      <x:c r="S37"/>
      <x:c r="T37" s="26"/>
      <x:c r="U37" s="26" t="str">
        <x:f>IF(T37="","",T37*4.184)</x:f>
      </x:c>
      <x:c r="V37" s="26"/>
      <x:c r="W37" t="str"/>
      <x:c r="X37" t="str"/>
      <x:c r="Y37" t="str"/>
      <x:c r="Z37" s="26" t="n">
        <x:v>-200.94</x:v>
      </x:c>
      <x:c r="AA37" s="26" t="n">
        <x:v>-216.2</x:v>
      </x:c>
      <x:c r="AB37" s="26" t="n">
        <x:v>-216.534</x:v>
      </x:c>
      <x:c r="AC37" s="26" t="n">
        <x:v>-215.29</x:v>
      </x:c>
      <x:c r="AD37" s="26" t="n">
        <x:v>-204.75825</x:v>
      </x:c>
      <x:c r="AE37" s="26" t="str">
        <x:v>mol_05665</x:v>
      </x:c>
      <x:c r="AF37" s="26" t="str">
        <x:v>Pending</x:v>
      </x:c>
      <x:c r="AG37" s="26"/>
      <x:c r="AH37" s="26"/>
    </x:row>
    <x:row r="38">
      <x:c r="A38" t="str">
        <x:v>cbt_012</x:v>
      </x:c>
      <x:c r="B38" t="str">
        <x:v>Ethanol</x:v>
      </x:c>
      <x:c r="C38" t="str">
        <x:v>CCO</x:v>
      </x:c>
      <x:c r="D38" t="str">
        <x:v>AM1</x:v>
      </x:c>
      <x:c r="E38" s="28" t="b">
        <x:v>1</x:v>
      </x:c>
      <x:c r="F38" t="n">
        <x:v>0</x:v>
      </x:c>
      <x:c r="G38" t="n">
        <x:v>1</x:v>
      </x:c>
      <x:c r="H38" t="str">
        <x:v>Pending</x:v>
      </x:c>
      <x:c r="I38" t="str">
        <x:v>NOT_ATTEMPTED</x:v>
      </x:c>
      <x:c r="J38" t="str">
        <x:v>NOT_ATTEMPTED</x:v>
      </x:c>
      <x:c r="K38" t="str">
        <x:v>gfn2</x:v>
      </x:c>
      <x:c r="L38" t="str">
        <x:v>off</x:v>
      </x:c>
      <x:c r="M38" s="26" t="n">
        <x:v>6</x:v>
      </x:c>
      <x:c r="N38" s="26" t="n">
        <x:v>0.125</x:v>
      </x:c>
      <x:c r="O38" t="n">
        <x:v>4</x:v>
      </x:c>
      <x:c r="P38" t="n">
        <x:v>10</x:v>
      </x:c>
      <x:c r="Q38"/>
      <x:c r="R38"/>
      <x:c r="S38"/>
      <x:c r="T38" s="26"/>
      <x:c r="U38" s="26" t="str">
        <x:f>IF(T38="","",T38*4.184)</x:f>
      </x:c>
      <x:c r="V38" s="26"/>
      <x:c r="W38" t="str"/>
      <x:c r="X38" t="str"/>
      <x:c r="Y38" t="str"/>
      <x:c r="Z38" s="26" t="n">
        <x:v>-234.95</x:v>
      </x:c>
      <x:c r="AA38" s="26" t="n">
        <x:v>-236.83999999999997</x:v>
      </x:c>
      <x:c r="AB38" s="26" t="n">
        <x:v>-237.297</x:v>
      </x:c>
      <x:c r="AC38" s="26" t="n">
        <x:v>-236.119</x:v>
      </x:c>
      <x:c r="AD38" s="26" t="n">
        <x:v>-242.07799</x:v>
      </x:c>
      <x:c r="AE38" s="26" t="str">
        <x:v>mol_05309</x:v>
      </x:c>
      <x:c r="AF38" s="26" t="str">
        <x:v>Pending</x:v>
      </x:c>
      <x:c r="AG38" s="26"/>
      <x:c r="AH38" s="26"/>
    </x:row>
    <x:row r="39">
      <x:c r="A39" t="str">
        <x:v>cbt_012</x:v>
      </x:c>
      <x:c r="B39" t="str">
        <x:v>Ethanol</x:v>
      </x:c>
      <x:c r="C39" t="str">
        <x:v>CCO</x:v>
      </x:c>
      <x:c r="D39" t="str">
        <x:v>PM3</x:v>
      </x:c>
      <x:c r="E39" s="28" t="b">
        <x:v>1</x:v>
      </x:c>
      <x:c r="F39" t="n">
        <x:v>0</x:v>
      </x:c>
      <x:c r="G39" t="n">
        <x:v>1</x:v>
      </x:c>
      <x:c r="H39" t="str">
        <x:v>Pending</x:v>
      </x:c>
      <x:c r="I39" t="str">
        <x:v>NOT_ATTEMPTED</x:v>
      </x:c>
      <x:c r="J39" t="str">
        <x:v>NOT_ATTEMPTED</x:v>
      </x:c>
      <x:c r="K39" t="str">
        <x:v>gfn2</x:v>
      </x:c>
      <x:c r="L39" t="str">
        <x:v>off</x:v>
      </x:c>
      <x:c r="M39" s="26" t="n">
        <x:v>6</x:v>
      </x:c>
      <x:c r="N39" s="26" t="n">
        <x:v>0.125</x:v>
      </x:c>
      <x:c r="O39" t="n">
        <x:v>4</x:v>
      </x:c>
      <x:c r="P39" t="n">
        <x:v>10</x:v>
      </x:c>
      <x:c r="Q39"/>
      <x:c r="R39"/>
      <x:c r="S39"/>
      <x:c r="T39" s="26"/>
      <x:c r="U39" s="26" t="str">
        <x:f>IF(T39="","",T39*4.184)</x:f>
      </x:c>
      <x:c r="V39" s="26"/>
      <x:c r="W39" t="str"/>
      <x:c r="X39" t="str"/>
      <x:c r="Y39" t="str"/>
      <x:c r="Z39" s="26" t="n">
        <x:v>-234.95</x:v>
      </x:c>
      <x:c r="AA39" s="26" t="n">
        <x:v>-236.83999999999997</x:v>
      </x:c>
      <x:c r="AB39" s="26" t="n">
        <x:v>-237.297</x:v>
      </x:c>
      <x:c r="AC39" s="26" t="n">
        <x:v>-236.119</x:v>
      </x:c>
      <x:c r="AD39" s="26" t="n">
        <x:v>-242.07799</x:v>
      </x:c>
      <x:c r="AE39" s="26" t="str">
        <x:v>mol_05309</x:v>
      </x:c>
      <x:c r="AF39" s="26" t="str">
        <x:v>Pending</x:v>
      </x:c>
      <x:c r="AG39" s="26"/>
      <x:c r="AH39" s="26"/>
    </x:row>
    <x:row r="40">
      <x:c r="A40" t="str">
        <x:v>cbt_012</x:v>
      </x:c>
      <x:c r="B40" t="str">
        <x:v>Ethanol</x:v>
      </x:c>
      <x:c r="C40" t="str">
        <x:v>CCO</x:v>
      </x:c>
      <x:c r="D40" t="str">
        <x:v>PM7</x:v>
      </x:c>
      <x:c r="E40" s="28" t="b">
        <x:v>1</x:v>
      </x:c>
      <x:c r="F40" t="n">
        <x:v>0</x:v>
      </x:c>
      <x:c r="G40" t="n">
        <x:v>1</x:v>
      </x:c>
      <x:c r="H40" t="str">
        <x:v>Pending</x:v>
      </x:c>
      <x:c r="I40" t="str">
        <x:v>NOT_ATTEMPTED</x:v>
      </x:c>
      <x:c r="J40" t="str">
        <x:v>NOT_ATTEMPTED</x:v>
      </x:c>
      <x:c r="K40" t="str">
        <x:v>gfn2</x:v>
      </x:c>
      <x:c r="L40" t="str">
        <x:v>off</x:v>
      </x:c>
      <x:c r="M40" s="26" t="n">
        <x:v>6</x:v>
      </x:c>
      <x:c r="N40" s="26" t="n">
        <x:v>0.125</x:v>
      </x:c>
      <x:c r="O40" t="n">
        <x:v>4</x:v>
      </x:c>
      <x:c r="P40" t="n">
        <x:v>10</x:v>
      </x:c>
      <x:c r="Q40"/>
      <x:c r="R40"/>
      <x:c r="S40"/>
      <x:c r="T40" s="26"/>
      <x:c r="U40" s="26" t="str">
        <x:f>IF(T40="","",T40*4.184)</x:f>
      </x:c>
      <x:c r="V40" s="26"/>
      <x:c r="W40" t="str"/>
      <x:c r="X40" t="str"/>
      <x:c r="Y40" t="str"/>
      <x:c r="Z40" s="26" t="n">
        <x:v>-234.95</x:v>
      </x:c>
      <x:c r="AA40" s="26" t="n">
        <x:v>-236.83999999999997</x:v>
      </x:c>
      <x:c r="AB40" s="26" t="n">
        <x:v>-237.297</x:v>
      </x:c>
      <x:c r="AC40" s="26" t="n">
        <x:v>-236.119</x:v>
      </x:c>
      <x:c r="AD40" s="26" t="n">
        <x:v>-242.07799</x:v>
      </x:c>
      <x:c r="AE40" s="26" t="str">
        <x:v>mol_05309</x:v>
      </x:c>
      <x:c r="AF40" s="26" t="str">
        <x:v>Pending</x:v>
      </x:c>
      <x:c r="AG40" s="26"/>
      <x:c r="AH40" s="26"/>
    </x:row>
    <x:row r="41">
      <x:c r="A41" t="str">
        <x:v>cbt_013</x:v>
      </x:c>
      <x:c r="B41" t="str">
        <x:v>Glycerol</x:v>
      </x:c>
      <x:c r="C41" t="str">
        <x:v>C(C(CO)O)O</x:v>
      </x:c>
      <x:c r="D41" t="str">
        <x:v>AM1</x:v>
      </x:c>
      <x:c r="E41" s="28" t="b">
        <x:v>1</x:v>
      </x:c>
      <x:c r="F41" t="n">
        <x:v>0</x:v>
      </x:c>
      <x:c r="G41" t="n">
        <x:v>1</x:v>
      </x:c>
      <x:c r="H41" t="str">
        <x:v>Pending</x:v>
      </x:c>
      <x:c r="I41" t="str">
        <x:v>NOT_ATTEMPTED</x:v>
      </x:c>
      <x:c r="J41" t="str">
        <x:v>NOT_ATTEMPTED</x:v>
      </x:c>
      <x:c r="K41" t="str">
        <x:v>gfn2</x:v>
      </x:c>
      <x:c r="L41" t="str">
        <x:v>off</x:v>
      </x:c>
      <x:c r="M41" s="26" t="n">
        <x:v>6</x:v>
      </x:c>
      <x:c r="N41" s="26" t="n">
        <x:v>0.125</x:v>
      </x:c>
      <x:c r="O41" t="n">
        <x:v>4</x:v>
      </x:c>
      <x:c r="P41" t="n">
        <x:v>10</x:v>
      </x:c>
      <x:c r="Q41"/>
      <x:c r="R41"/>
      <x:c r="S41"/>
      <x:c r="T41" s="26"/>
      <x:c r="U41" s="26" t="str">
        <x:f>IF(T41="","",T41*4.184)</x:f>
      </x:c>
      <x:c r="V41" s="26"/>
      <x:c r="W41" t="str"/>
      <x:c r="X41" t="str"/>
      <x:c r="Y41" t="str"/>
      <x:c r="Z41" s="26" t="n">
        <x:v>-577.9</x:v>
      </x:c>
      <x:c r="AA41" s="26" t="n">
        <x:v>-567.22</x:v>
      </x:c>
      <x:c r="AB41" s="26" t="n">
        <x:v>-582.6099999999999</x:v>
      </x:c>
      <x:c r="AC41" s="26" t="n">
        <x:v>-582.7330000000001</x:v>
      </x:c>
      <x:c r="AD41" s="26" t="n">
        <x:v>-588.45026</x:v>
      </x:c>
      <x:c r="AE41" s="26" t="str"/>
      <x:c r="AF41" s="26" t="str"/>
      <x:c r="AG41" s="26"/>
      <x:c r="AH41" s="26"/>
    </x:row>
    <x:row r="42">
      <x:c r="A42" t="str">
        <x:v>cbt_013</x:v>
      </x:c>
      <x:c r="B42" t="str">
        <x:v>Glycerol</x:v>
      </x:c>
      <x:c r="C42" t="str">
        <x:v>C(C(CO)O)O</x:v>
      </x:c>
      <x:c r="D42" t="str">
        <x:v>PM3</x:v>
      </x:c>
      <x:c r="E42" s="28" t="b">
        <x:v>1</x:v>
      </x:c>
      <x:c r="F42" t="n">
        <x:v>0</x:v>
      </x:c>
      <x:c r="G42" t="n">
        <x:v>1</x:v>
      </x:c>
      <x:c r="H42" t="str">
        <x:v>Pending</x:v>
      </x:c>
      <x:c r="I42" t="str">
        <x:v>NOT_ATTEMPTED</x:v>
      </x:c>
      <x:c r="J42" t="str">
        <x:v>NOT_ATTEMPTED</x:v>
      </x:c>
      <x:c r="K42" t="str">
        <x:v>gfn2</x:v>
      </x:c>
      <x:c r="L42" t="str">
        <x:v>off</x:v>
      </x:c>
      <x:c r="M42" s="26" t="n">
        <x:v>6</x:v>
      </x:c>
      <x:c r="N42" s="26" t="n">
        <x:v>0.125</x:v>
      </x:c>
      <x:c r="O42" t="n">
        <x:v>4</x:v>
      </x:c>
      <x:c r="P42" t="n">
        <x:v>10</x:v>
      </x:c>
      <x:c r="Q42"/>
      <x:c r="R42"/>
      <x:c r="S42"/>
      <x:c r="T42" s="26"/>
      <x:c r="U42" s="26" t="str">
        <x:f>IF(T42="","",T42*4.184)</x:f>
      </x:c>
      <x:c r="V42" s="26"/>
      <x:c r="W42" t="str"/>
      <x:c r="X42" t="str"/>
      <x:c r="Y42" t="str"/>
      <x:c r="Z42" s="26" t="n">
        <x:v>-577.9</x:v>
      </x:c>
      <x:c r="AA42" s="26" t="n">
        <x:v>-567.22</x:v>
      </x:c>
      <x:c r="AB42" s="26" t="n">
        <x:v>-582.6099999999999</x:v>
      </x:c>
      <x:c r="AC42" s="26" t="n">
        <x:v>-582.7330000000001</x:v>
      </x:c>
      <x:c r="AD42" s="26" t="n">
        <x:v>-588.45026</x:v>
      </x:c>
      <x:c r="AE42" s="26" t="str"/>
      <x:c r="AF42" s="26" t="str"/>
      <x:c r="AG42" s="26"/>
      <x:c r="AH42" s="26"/>
    </x:row>
    <x:row r="43">
      <x:c r="A43" t="str">
        <x:v>cbt_013</x:v>
      </x:c>
      <x:c r="B43" t="str">
        <x:v>Glycerol</x:v>
      </x:c>
      <x:c r="C43" t="str">
        <x:v>C(C(CO)O)O</x:v>
      </x:c>
      <x:c r="D43" t="str">
        <x:v>PM7</x:v>
      </x:c>
      <x:c r="E43" s="28" t="b">
        <x:v>1</x:v>
      </x:c>
      <x:c r="F43" t="n">
        <x:v>0</x:v>
      </x:c>
      <x:c r="G43" t="n">
        <x:v>1</x:v>
      </x:c>
      <x:c r="H43" t="str">
        <x:v>Pending</x:v>
      </x:c>
      <x:c r="I43" t="str">
        <x:v>NOT_ATTEMPTED</x:v>
      </x:c>
      <x:c r="J43" t="str">
        <x:v>NOT_ATTEMPTED</x:v>
      </x:c>
      <x:c r="K43" t="str">
        <x:v>gfn2</x:v>
      </x:c>
      <x:c r="L43" t="str">
        <x:v>off</x:v>
      </x:c>
      <x:c r="M43" s="26" t="n">
        <x:v>6</x:v>
      </x:c>
      <x:c r="N43" s="26" t="n">
        <x:v>0.125</x:v>
      </x:c>
      <x:c r="O43" t="n">
        <x:v>4</x:v>
      </x:c>
      <x:c r="P43" t="n">
        <x:v>10</x:v>
      </x:c>
      <x:c r="Q43"/>
      <x:c r="R43"/>
      <x:c r="S43"/>
      <x:c r="T43" s="26"/>
      <x:c r="U43" s="26" t="str">
        <x:f>IF(T43="","",T43*4.184)</x:f>
      </x:c>
      <x:c r="V43" s="26"/>
      <x:c r="W43" t="str"/>
      <x:c r="X43" t="str"/>
      <x:c r="Y43" t="str"/>
      <x:c r="Z43" s="26" t="n">
        <x:v>-577.9</x:v>
      </x:c>
      <x:c r="AA43" s="26" t="n">
        <x:v>-567.22</x:v>
      </x:c>
      <x:c r="AB43" s="26" t="n">
        <x:v>-582.6099999999999</x:v>
      </x:c>
      <x:c r="AC43" s="26" t="n">
        <x:v>-582.7330000000001</x:v>
      </x:c>
      <x:c r="AD43" s="26" t="n">
        <x:v>-588.45026</x:v>
      </x:c>
      <x:c r="AE43" s="26" t="str"/>
      <x:c r="AF43" s="26" t="str"/>
      <x:c r="AG43" s="26"/>
      <x:c r="AH43" s="26"/>
    </x:row>
    <x:row r="44">
      <x:c r="A44" t="str">
        <x:v>cbt_014</x:v>
      </x:c>
      <x:c r="B44" t="str">
        <x:v>Propanol</x:v>
      </x:c>
      <x:c r="C44" t="str">
        <x:v>CCCO</x:v>
      </x:c>
      <x:c r="D44" t="str">
        <x:v>AM1</x:v>
      </x:c>
      <x:c r="E44" s="28" t="b">
        <x:v>1</x:v>
      </x:c>
      <x:c r="F44" t="n">
        <x:v>0</x:v>
      </x:c>
      <x:c r="G44" t="n">
        <x:v>1</x:v>
      </x:c>
      <x:c r="H44" t="str">
        <x:v>Pending</x:v>
      </x:c>
      <x:c r="I44" t="str">
        <x:v>NOT_ATTEMPTED</x:v>
      </x:c>
      <x:c r="J44" t="str">
        <x:v>NOT_ATTEMPTED</x:v>
      </x:c>
      <x:c r="K44" t="str">
        <x:v>gfn2</x:v>
      </x:c>
      <x:c r="L44" t="str">
        <x:v>off</x:v>
      </x:c>
      <x:c r="M44" s="26" t="n">
        <x:v>6</x:v>
      </x:c>
      <x:c r="N44" s="26" t="n">
        <x:v>0.125</x:v>
      </x:c>
      <x:c r="O44" t="n">
        <x:v>4</x:v>
      </x:c>
      <x:c r="P44" t="n">
        <x:v>10</x:v>
      </x:c>
      <x:c r="Q44"/>
      <x:c r="R44"/>
      <x:c r="S44"/>
      <x:c r="T44" s="26"/>
      <x:c r="U44" s="26" t="str">
        <x:f>IF(T44="","",T44*4.184)</x:f>
      </x:c>
      <x:c r="V44" s="26"/>
      <x:c r="W44" t="str"/>
      <x:c r="X44" t="str"/>
      <x:c r="Y44" t="str"/>
      <x:c r="Z44" s="26" t="n">
        <x:v>-254.6</x:v>
      </x:c>
      <x:c r="AA44" s="26" t="n">
        <x:v>-257.47999999999996</x:v>
      </x:c>
      <x:c r="AB44" s="26" t="n">
        <x:v>-258.06</x:v>
      </x:c>
      <x:c r="AC44" s="26" t="n">
        <x:v>-256.94800000000004</x:v>
      </x:c>
      <x:c r="AD44" s="26" t="n">
        <x:v>-262.4848</x:v>
      </x:c>
      <x:c r="AE44" s="26" t="str">
        <x:v>mol_05320</x:v>
      </x:c>
      <x:c r="AF44" s="26" t="str">
        <x:v>Pending</x:v>
      </x:c>
      <x:c r="AG44" s="26"/>
      <x:c r="AH44" s="26"/>
    </x:row>
    <x:row r="45">
      <x:c r="A45" t="str">
        <x:v>cbt_014</x:v>
      </x:c>
      <x:c r="B45" t="str">
        <x:v>Propanol</x:v>
      </x:c>
      <x:c r="C45" t="str">
        <x:v>CCCO</x:v>
      </x:c>
      <x:c r="D45" t="str">
        <x:v>PM3</x:v>
      </x:c>
      <x:c r="E45" s="28" t="b">
        <x:v>1</x:v>
      </x:c>
      <x:c r="F45" t="n">
        <x:v>0</x:v>
      </x:c>
      <x:c r="G45" t="n">
        <x:v>1</x:v>
      </x:c>
      <x:c r="H45" t="str">
        <x:v>Pending</x:v>
      </x:c>
      <x:c r="I45" t="str">
        <x:v>NOT_ATTEMPTED</x:v>
      </x:c>
      <x:c r="J45" t="str">
        <x:v>NOT_ATTEMPTED</x:v>
      </x:c>
      <x:c r="K45" t="str">
        <x:v>gfn2</x:v>
      </x:c>
      <x:c r="L45" t="str">
        <x:v>off</x:v>
      </x:c>
      <x:c r="M45" s="26" t="n">
        <x:v>6</x:v>
      </x:c>
      <x:c r="N45" s="26" t="n">
        <x:v>0.125</x:v>
      </x:c>
      <x:c r="O45" t="n">
        <x:v>4</x:v>
      </x:c>
      <x:c r="P45" t="n">
        <x:v>10</x:v>
      </x:c>
      <x:c r="Q45"/>
      <x:c r="R45"/>
      <x:c r="S45"/>
      <x:c r="T45" s="26"/>
      <x:c r="U45" s="26" t="str">
        <x:f>IF(T45="","",T45*4.184)</x:f>
      </x:c>
      <x:c r="V45" s="26"/>
      <x:c r="W45" t="str"/>
      <x:c r="X45" t="str"/>
      <x:c r="Y45" t="str"/>
      <x:c r="Z45" s="26" t="n">
        <x:v>-254.6</x:v>
      </x:c>
      <x:c r="AA45" s="26" t="n">
        <x:v>-257.47999999999996</x:v>
      </x:c>
      <x:c r="AB45" s="26" t="n">
        <x:v>-258.06</x:v>
      </x:c>
      <x:c r="AC45" s="26" t="n">
        <x:v>-256.94800000000004</x:v>
      </x:c>
      <x:c r="AD45" s="26" t="n">
        <x:v>-262.4848</x:v>
      </x:c>
      <x:c r="AE45" s="26" t="str">
        <x:v>mol_05320</x:v>
      </x:c>
      <x:c r="AF45" s="26" t="str">
        <x:v>Pending</x:v>
      </x:c>
      <x:c r="AG45" s="26"/>
      <x:c r="AH45" s="26"/>
    </x:row>
    <x:row r="46">
      <x:c r="A46" t="str">
        <x:v>cbt_014</x:v>
      </x:c>
      <x:c r="B46" t="str">
        <x:v>Propanol</x:v>
      </x:c>
      <x:c r="C46" t="str">
        <x:v>CCCO</x:v>
      </x:c>
      <x:c r="D46" t="str">
        <x:v>PM7</x:v>
      </x:c>
      <x:c r="E46" s="28" t="b">
        <x:v>1</x:v>
      </x:c>
      <x:c r="F46" t="n">
        <x:v>0</x:v>
      </x:c>
      <x:c r="G46" t="n">
        <x:v>1</x:v>
      </x:c>
      <x:c r="H46" t="str">
        <x:v>Pending</x:v>
      </x:c>
      <x:c r="I46" t="str">
        <x:v>NOT_ATTEMPTED</x:v>
      </x:c>
      <x:c r="J46" t="str">
        <x:v>NOT_ATTEMPTED</x:v>
      </x:c>
      <x:c r="K46" t="str">
        <x:v>gfn2</x:v>
      </x:c>
      <x:c r="L46" t="str">
        <x:v>off</x:v>
      </x:c>
      <x:c r="M46" s="26" t="n">
        <x:v>6</x:v>
      </x:c>
      <x:c r="N46" s="26" t="n">
        <x:v>0.125</x:v>
      </x:c>
      <x:c r="O46" t="n">
        <x:v>4</x:v>
      </x:c>
      <x:c r="P46" t="n">
        <x:v>10</x:v>
      </x:c>
      <x:c r="Q46"/>
      <x:c r="R46"/>
      <x:c r="S46"/>
      <x:c r="T46" s="26"/>
      <x:c r="U46" s="26" t="str">
        <x:f>IF(T46="","",T46*4.184)</x:f>
      </x:c>
      <x:c r="V46" s="26"/>
      <x:c r="W46" t="str"/>
      <x:c r="X46" t="str"/>
      <x:c r="Y46" t="str"/>
      <x:c r="Z46" s="26" t="n">
        <x:v>-254.6</x:v>
      </x:c>
      <x:c r="AA46" s="26" t="n">
        <x:v>-257.47999999999996</x:v>
      </x:c>
      <x:c r="AB46" s="26" t="n">
        <x:v>-258.06</x:v>
      </x:c>
      <x:c r="AC46" s="26" t="n">
        <x:v>-256.94800000000004</x:v>
      </x:c>
      <x:c r="AD46" s="26" t="n">
        <x:v>-262.4848</x:v>
      </x:c>
      <x:c r="AE46" s="26" t="str">
        <x:v>mol_05320</x:v>
      </x:c>
      <x:c r="AF46" s="26" t="str">
        <x:v>Pending</x:v>
      </x:c>
      <x:c r="AG46" s="26"/>
      <x:c r="AH46" s="26"/>
    </x:row>
    <x:row r="47">
      <x:c r="A47" t="str">
        <x:v>cbt_015</x:v>
      </x:c>
      <x:c r="B47" t="str">
        <x:v>Butanol</x:v>
      </x:c>
      <x:c r="C47" t="str">
        <x:v>CCCCO</x:v>
      </x:c>
      <x:c r="D47" t="str">
        <x:v>AM1</x:v>
      </x:c>
      <x:c r="E47" s="28" t="b">
        <x:v>1</x:v>
      </x:c>
      <x:c r="F47" t="n">
        <x:v>0</x:v>
      </x:c>
      <x:c r="G47" t="n">
        <x:v>1</x:v>
      </x:c>
      <x:c r="H47" t="str">
        <x:v>Pending</x:v>
      </x:c>
      <x:c r="I47" t="str">
        <x:v>NOT_ATTEMPTED</x:v>
      </x:c>
      <x:c r="J47" t="str">
        <x:v>NOT_ATTEMPTED</x:v>
      </x:c>
      <x:c r="K47" t="str">
        <x:v>gfn2</x:v>
      </x:c>
      <x:c r="L47" t="str">
        <x:v>off</x:v>
      </x:c>
      <x:c r="M47" s="26" t="n">
        <x:v>6</x:v>
      </x:c>
      <x:c r="N47" s="26" t="n">
        <x:v>0.125</x:v>
      </x:c>
      <x:c r="O47" t="n">
        <x:v>4</x:v>
      </x:c>
      <x:c r="P47" t="n">
        <x:v>10</x:v>
      </x:c>
      <x:c r="Q47"/>
      <x:c r="R47"/>
      <x:c r="S47"/>
      <x:c r="T47" s="26"/>
      <x:c r="U47" s="26" t="str">
        <x:f>IF(T47="","",T47*4.184)</x:f>
      </x:c>
      <x:c r="V47" s="26"/>
      <x:c r="W47" t="str"/>
      <x:c r="X47" t="str"/>
      <x:c r="Y47" t="str"/>
      <x:c r="Z47" s="26" t="n">
        <x:v>-275.1</x:v>
      </x:c>
      <x:c r="AA47" s="26" t="n">
        <x:v>-278.11999999999995</x:v>
      </x:c>
      <x:c r="AB47" s="26" t="n">
        <x:v>-278.82300000000004</x:v>
      </x:c>
      <x:c r="AC47" s="26" t="n">
        <x:v>-277.77700000000004</x:v>
      </x:c>
      <x:c r="AD47" s="26" t="n">
        <x:v>-283.15306</x:v>
      </x:c>
      <x:c r="AE47" s="26" t="str">
        <x:v>mol_05337</x:v>
      </x:c>
      <x:c r="AF47" s="26" t="str">
        <x:v>Pending</x:v>
      </x:c>
      <x:c r="AG47" s="26"/>
      <x:c r="AH47" s="26"/>
    </x:row>
    <x:row r="48">
      <x:c r="A48" t="str">
        <x:v>cbt_015</x:v>
      </x:c>
      <x:c r="B48" t="str">
        <x:v>Butanol</x:v>
      </x:c>
      <x:c r="C48" t="str">
        <x:v>CCCCO</x:v>
      </x:c>
      <x:c r="D48" t="str">
        <x:v>PM3</x:v>
      </x:c>
      <x:c r="E48" s="28" t="b">
        <x:v>1</x:v>
      </x:c>
      <x:c r="F48" t="n">
        <x:v>0</x:v>
      </x:c>
      <x:c r="G48" t="n">
        <x:v>1</x:v>
      </x:c>
      <x:c r="H48" t="str">
        <x:v>Pending</x:v>
      </x:c>
      <x:c r="I48" t="str">
        <x:v>NOT_ATTEMPTED</x:v>
      </x:c>
      <x:c r="J48" t="str">
        <x:v>NOT_ATTEMPTED</x:v>
      </x:c>
      <x:c r="K48" t="str">
        <x:v>gfn2</x:v>
      </x:c>
      <x:c r="L48" t="str">
        <x:v>off</x:v>
      </x:c>
      <x:c r="M48" s="26" t="n">
        <x:v>6</x:v>
      </x:c>
      <x:c r="N48" s="26" t="n">
        <x:v>0.125</x:v>
      </x:c>
      <x:c r="O48" t="n">
        <x:v>4</x:v>
      </x:c>
      <x:c r="P48" t="n">
        <x:v>10</x:v>
      </x:c>
      <x:c r="Q48"/>
      <x:c r="R48"/>
      <x:c r="S48"/>
      <x:c r="T48" s="26"/>
      <x:c r="U48" s="26" t="str">
        <x:f>IF(T48="","",T48*4.184)</x:f>
      </x:c>
      <x:c r="V48" s="26"/>
      <x:c r="W48" t="str"/>
      <x:c r="X48" t="str"/>
      <x:c r="Y48" t="str"/>
      <x:c r="Z48" s="26" t="n">
        <x:v>-275.1</x:v>
      </x:c>
      <x:c r="AA48" s="26" t="n">
        <x:v>-278.11999999999995</x:v>
      </x:c>
      <x:c r="AB48" s="26" t="n">
        <x:v>-278.82300000000004</x:v>
      </x:c>
      <x:c r="AC48" s="26" t="n">
        <x:v>-277.77700000000004</x:v>
      </x:c>
      <x:c r="AD48" s="26" t="n">
        <x:v>-283.15306</x:v>
      </x:c>
      <x:c r="AE48" s="26" t="str">
        <x:v>mol_05337</x:v>
      </x:c>
      <x:c r="AF48" s="26" t="str">
        <x:v>Pending</x:v>
      </x:c>
      <x:c r="AG48" s="26"/>
      <x:c r="AH48" s="26"/>
    </x:row>
    <x:row r="49">
      <x:c r="A49" t="str">
        <x:v>cbt_015</x:v>
      </x:c>
      <x:c r="B49" t="str">
        <x:v>Butanol</x:v>
      </x:c>
      <x:c r="C49" t="str">
        <x:v>CCCCO</x:v>
      </x:c>
      <x:c r="D49" t="str">
        <x:v>PM7</x:v>
      </x:c>
      <x:c r="E49" s="28" t="b">
        <x:v>1</x:v>
      </x:c>
      <x:c r="F49" t="n">
        <x:v>0</x:v>
      </x:c>
      <x:c r="G49" t="n">
        <x:v>1</x:v>
      </x:c>
      <x:c r="H49" t="str">
        <x:v>Pending</x:v>
      </x:c>
      <x:c r="I49" t="str">
        <x:v>NOT_ATTEMPTED</x:v>
      </x:c>
      <x:c r="J49" t="str">
        <x:v>NOT_ATTEMPTED</x:v>
      </x:c>
      <x:c r="K49" t="str">
        <x:v>gfn2</x:v>
      </x:c>
      <x:c r="L49" t="str">
        <x:v>off</x:v>
      </x:c>
      <x:c r="M49" s="26" t="n">
        <x:v>6</x:v>
      </x:c>
      <x:c r="N49" s="26" t="n">
        <x:v>0.125</x:v>
      </x:c>
      <x:c r="O49" t="n">
        <x:v>4</x:v>
      </x:c>
      <x:c r="P49" t="n">
        <x:v>10</x:v>
      </x:c>
      <x:c r="Q49"/>
      <x:c r="R49"/>
      <x:c r="S49"/>
      <x:c r="T49" s="26"/>
      <x:c r="U49" s="26" t="str">
        <x:f>IF(T49="","",T49*4.184)</x:f>
      </x:c>
      <x:c r="V49" s="26"/>
      <x:c r="W49" t="str"/>
      <x:c r="X49" t="str"/>
      <x:c r="Y49" t="str"/>
      <x:c r="Z49" s="26" t="n">
        <x:v>-275.1</x:v>
      </x:c>
      <x:c r="AA49" s="26" t="n">
        <x:v>-278.11999999999995</x:v>
      </x:c>
      <x:c r="AB49" s="26" t="n">
        <x:v>-278.82300000000004</x:v>
      </x:c>
      <x:c r="AC49" s="26" t="n">
        <x:v>-277.77700000000004</x:v>
      </x:c>
      <x:c r="AD49" s="26" t="n">
        <x:v>-283.15306</x:v>
      </x:c>
      <x:c r="AE49" s="26" t="str">
        <x:v>mol_05337</x:v>
      </x:c>
      <x:c r="AF49" s="26" t="str">
        <x:v>Pending</x:v>
      </x:c>
      <x:c r="AG49" s="26"/>
      <x:c r="AH49" s="26"/>
    </x:row>
    <x:row r="50">
      <x:c r="A50" t="str">
        <x:v>cbt_016</x:v>
      </x:c>
      <x:c r="B50" t="str">
        <x:v>Pentanol</x:v>
      </x:c>
      <x:c r="C50" t="str">
        <x:v>CCCCCO</x:v>
      </x:c>
      <x:c r="D50" t="str">
        <x:v>AM1</x:v>
      </x:c>
      <x:c r="E50" s="28" t="b">
        <x:v>1</x:v>
      </x:c>
      <x:c r="F50" t="n">
        <x:v>0</x:v>
      </x:c>
      <x:c r="G50" t="n">
        <x:v>1</x:v>
      </x:c>
      <x:c r="H50" t="str">
        <x:v>Pending</x:v>
      </x:c>
      <x:c r="I50" t="str">
        <x:v>NOT_ATTEMPTED</x:v>
      </x:c>
      <x:c r="J50" t="str">
        <x:v>NOT_ATTEMPTED</x:v>
      </x:c>
      <x:c r="K50" t="str">
        <x:v>gfn2</x:v>
      </x:c>
      <x:c r="L50" t="str">
        <x:v>off</x:v>
      </x:c>
      <x:c r="M50" s="26" t="n">
        <x:v>6</x:v>
      </x:c>
      <x:c r="N50" s="26" t="n">
        <x:v>0.125</x:v>
      </x:c>
      <x:c r="O50" t="n">
        <x:v>4</x:v>
      </x:c>
      <x:c r="P50" t="n">
        <x:v>10</x:v>
      </x:c>
      <x:c r="Q50"/>
      <x:c r="R50"/>
      <x:c r="S50"/>
      <x:c r="T50" s="26"/>
      <x:c r="U50" s="26" t="str">
        <x:f>IF(T50="","",T50*4.184)</x:f>
      </x:c>
      <x:c r="V50" s="26"/>
      <x:c r="W50" t="str"/>
      <x:c r="X50" t="str"/>
      <x:c r="Y50" t="str"/>
      <x:c r="Z50" s="26" t="n">
        <x:v>-295.7</x:v>
      </x:c>
      <x:c r="AA50" s="26" t="n">
        <x:v>-298.75999999999993</x:v>
      </x:c>
      <x:c r="AB50" s="26" t="n">
        <x:v>-299.58600000000007</x:v>
      </x:c>
      <x:c r="AC50" s="26" t="n">
        <x:v>-298.60600000000005</x:v>
      </x:c>
      <x:c r="AD50" s="26" t="n">
        <x:v>-304.42055</x:v>
      </x:c>
      <x:c r="AE50" s="26" t="str">
        <x:v>mol_05538</x:v>
      </x:c>
      <x:c r="AF50" s="26" t="str">
        <x:v>Pending</x:v>
      </x:c>
      <x:c r="AG50" s="26"/>
      <x:c r="AH50" s="26"/>
    </x:row>
    <x:row r="51">
      <x:c r="A51" t="str">
        <x:v>cbt_016</x:v>
      </x:c>
      <x:c r="B51" t="str">
        <x:v>Pentanol</x:v>
      </x:c>
      <x:c r="C51" t="str">
        <x:v>CCCCCO</x:v>
      </x:c>
      <x:c r="D51" t="str">
        <x:v>PM3</x:v>
      </x:c>
      <x:c r="E51" s="28" t="b">
        <x:v>1</x:v>
      </x:c>
      <x:c r="F51" t="n">
        <x:v>0</x:v>
      </x:c>
      <x:c r="G51" t="n">
        <x:v>1</x:v>
      </x:c>
      <x:c r="H51" t="str">
        <x:v>Pending</x:v>
      </x:c>
      <x:c r="I51" t="str">
        <x:v>NOT_ATTEMPTED</x:v>
      </x:c>
      <x:c r="J51" t="str">
        <x:v>NOT_ATTEMPTED</x:v>
      </x:c>
      <x:c r="K51" t="str">
        <x:v>gfn2</x:v>
      </x:c>
      <x:c r="L51" t="str">
        <x:v>off</x:v>
      </x:c>
      <x:c r="M51" s="26" t="n">
        <x:v>6</x:v>
      </x:c>
      <x:c r="N51" s="26" t="n">
        <x:v>0.125</x:v>
      </x:c>
      <x:c r="O51" t="n">
        <x:v>4</x:v>
      </x:c>
      <x:c r="P51" t="n">
        <x:v>10</x:v>
      </x:c>
      <x:c r="Q51"/>
      <x:c r="R51"/>
      <x:c r="S51"/>
      <x:c r="T51" s="26"/>
      <x:c r="U51" s="26" t="str">
        <x:f>IF(T51="","",T51*4.184)</x:f>
      </x:c>
      <x:c r="V51" s="26"/>
      <x:c r="W51" t="str"/>
      <x:c r="X51" t="str"/>
      <x:c r="Y51" t="str"/>
      <x:c r="Z51" s="26" t="n">
        <x:v>-295.7</x:v>
      </x:c>
      <x:c r="AA51" s="26" t="n">
        <x:v>-298.75999999999993</x:v>
      </x:c>
      <x:c r="AB51" s="26" t="n">
        <x:v>-299.58600000000007</x:v>
      </x:c>
      <x:c r="AC51" s="26" t="n">
        <x:v>-298.60600000000005</x:v>
      </x:c>
      <x:c r="AD51" s="26" t="n">
        <x:v>-304.42055</x:v>
      </x:c>
      <x:c r="AE51" s="26" t="str">
        <x:v>mol_05538</x:v>
      </x:c>
      <x:c r="AF51" s="26" t="str">
        <x:v>Pending</x:v>
      </x:c>
      <x:c r="AG51" s="26"/>
      <x:c r="AH51" s="26"/>
    </x:row>
    <x:row r="52">
      <x:c r="A52" t="str">
        <x:v>cbt_016</x:v>
      </x:c>
      <x:c r="B52" t="str">
        <x:v>Pentanol</x:v>
      </x:c>
      <x:c r="C52" t="str">
        <x:v>CCCCCO</x:v>
      </x:c>
      <x:c r="D52" t="str">
        <x:v>PM7</x:v>
      </x:c>
      <x:c r="E52" s="28" t="b">
        <x:v>1</x:v>
      </x:c>
      <x:c r="F52" t="n">
        <x:v>0</x:v>
      </x:c>
      <x:c r="G52" t="n">
        <x:v>1</x:v>
      </x:c>
      <x:c r="H52" t="str">
        <x:v>Pending</x:v>
      </x:c>
      <x:c r="I52" t="str">
        <x:v>NOT_ATTEMPTED</x:v>
      </x:c>
      <x:c r="J52" t="str">
        <x:v>NOT_ATTEMPTED</x:v>
      </x:c>
      <x:c r="K52" t="str">
        <x:v>gfn2</x:v>
      </x:c>
      <x:c r="L52" t="str">
        <x:v>off</x:v>
      </x:c>
      <x:c r="M52" s="26" t="n">
        <x:v>6</x:v>
      </x:c>
      <x:c r="N52" s="26" t="n">
        <x:v>0.125</x:v>
      </x:c>
      <x:c r="O52" t="n">
        <x:v>4</x:v>
      </x:c>
      <x:c r="P52" t="n">
        <x:v>10</x:v>
      </x:c>
      <x:c r="Q52"/>
      <x:c r="R52"/>
      <x:c r="S52"/>
      <x:c r="T52" s="26"/>
      <x:c r="U52" s="26" t="str">
        <x:f>IF(T52="","",T52*4.184)</x:f>
      </x:c>
      <x:c r="V52" s="26"/>
      <x:c r="W52" t="str"/>
      <x:c r="X52" t="str"/>
      <x:c r="Y52" t="str"/>
      <x:c r="Z52" s="26" t="n">
        <x:v>-295.7</x:v>
      </x:c>
      <x:c r="AA52" s="26" t="n">
        <x:v>-298.75999999999993</x:v>
      </x:c>
      <x:c r="AB52" s="26" t="n">
        <x:v>-299.58600000000007</x:v>
      </x:c>
      <x:c r="AC52" s="26" t="n">
        <x:v>-298.60600000000005</x:v>
      </x:c>
      <x:c r="AD52" s="26" t="n">
        <x:v>-304.42055</x:v>
      </x:c>
      <x:c r="AE52" s="26" t="str">
        <x:v>mol_05538</x:v>
      </x:c>
      <x:c r="AF52" s="26" t="str">
        <x:v>Pending</x:v>
      </x:c>
      <x:c r="AG52" s="26"/>
      <x:c r="AH52" s="26"/>
    </x:row>
    <x:row r="53">
      <x:c r="A53" t="str">
        <x:v>cbt_017</x:v>
      </x:c>
      <x:c r="B53" t="str">
        <x:v>Hexanol</x:v>
      </x:c>
      <x:c r="C53" t="str">
        <x:v>CCCCCCO</x:v>
      </x:c>
      <x:c r="D53" t="str">
        <x:v>AM1</x:v>
      </x:c>
      <x:c r="E53" s="28" t="b">
        <x:v>1</x:v>
      </x:c>
      <x:c r="F53" t="n">
        <x:v>0</x:v>
      </x:c>
      <x:c r="G53" t="n">
        <x:v>1</x:v>
      </x:c>
      <x:c r="H53" t="str">
        <x:v>Pending</x:v>
      </x:c>
      <x:c r="I53" t="str">
        <x:v>NOT_ATTEMPTED</x:v>
      </x:c>
      <x:c r="J53" t="str">
        <x:v>NOT_ATTEMPTED</x:v>
      </x:c>
      <x:c r="K53" t="str">
        <x:v>gfn2</x:v>
      </x:c>
      <x:c r="L53" t="str">
        <x:v>off</x:v>
      </x:c>
      <x:c r="M53" s="26" t="n">
        <x:v>6</x:v>
      </x:c>
      <x:c r="N53" s="26" t="n">
        <x:v>0.125</x:v>
      </x:c>
      <x:c r="O53" t="n">
        <x:v>4</x:v>
      </x:c>
      <x:c r="P53" t="n">
        <x:v>10</x:v>
      </x:c>
      <x:c r="Q53"/>
      <x:c r="R53"/>
      <x:c r="S53"/>
      <x:c r="T53" s="26"/>
      <x:c r="U53" s="26" t="str">
        <x:f>IF(T53="","",T53*4.184)</x:f>
      </x:c>
      <x:c r="V53" s="26"/>
      <x:c r="W53" t="str"/>
      <x:c r="X53" t="str"/>
      <x:c r="Y53" t="str"/>
      <x:c r="Z53" s="26" t="n">
        <x:v>-316.2</x:v>
      </x:c>
      <x:c r="AA53" s="26" t="n">
        <x:v>-319.4</x:v>
      </x:c>
      <x:c r="AB53" s="26" t="n">
        <x:v>-320.349</x:v>
      </x:c>
      <x:c r="AC53" s="26" t="n">
        <x:v>-319.43500000000006</x:v>
      </x:c>
      <x:c r="AD53" s="26" t="n">
        <x:v>-325.86172</x:v>
      </x:c>
      <x:c r="AE53" s="26" t="str">
        <x:v>mol_05437</x:v>
      </x:c>
      <x:c r="AF53" s="26" t="str">
        <x:v>Pending</x:v>
      </x:c>
      <x:c r="AG53" s="26"/>
      <x:c r="AH53" s="26"/>
    </x:row>
    <x:row r="54">
      <x:c r="A54" t="str">
        <x:v>cbt_017</x:v>
      </x:c>
      <x:c r="B54" t="str">
        <x:v>Hexanol</x:v>
      </x:c>
      <x:c r="C54" t="str">
        <x:v>CCCCCCO</x:v>
      </x:c>
      <x:c r="D54" t="str">
        <x:v>PM3</x:v>
      </x:c>
      <x:c r="E54" s="28" t="b">
        <x:v>1</x:v>
      </x:c>
      <x:c r="F54" t="n">
        <x:v>0</x:v>
      </x:c>
      <x:c r="G54" t="n">
        <x:v>1</x:v>
      </x:c>
      <x:c r="H54" t="str">
        <x:v>Pending</x:v>
      </x:c>
      <x:c r="I54" t="str">
        <x:v>NOT_ATTEMPTED</x:v>
      </x:c>
      <x:c r="J54" t="str">
        <x:v>NOT_ATTEMPTED</x:v>
      </x:c>
      <x:c r="K54" t="str">
        <x:v>gfn2</x:v>
      </x:c>
      <x:c r="L54" t="str">
        <x:v>off</x:v>
      </x:c>
      <x:c r="M54" s="26" t="n">
        <x:v>6</x:v>
      </x:c>
      <x:c r="N54" s="26" t="n">
        <x:v>0.125</x:v>
      </x:c>
      <x:c r="O54" t="n">
        <x:v>4</x:v>
      </x:c>
      <x:c r="P54" t="n">
        <x:v>10</x:v>
      </x:c>
      <x:c r="Q54"/>
      <x:c r="R54"/>
      <x:c r="S54"/>
      <x:c r="T54" s="26"/>
      <x:c r="U54" s="26" t="str">
        <x:f>IF(T54="","",T54*4.184)</x:f>
      </x:c>
      <x:c r="V54" s="26"/>
      <x:c r="W54" t="str"/>
      <x:c r="X54" t="str"/>
      <x:c r="Y54" t="str"/>
      <x:c r="Z54" s="26" t="n">
        <x:v>-316.2</x:v>
      </x:c>
      <x:c r="AA54" s="26" t="n">
        <x:v>-319.4</x:v>
      </x:c>
      <x:c r="AB54" s="26" t="n">
        <x:v>-320.349</x:v>
      </x:c>
      <x:c r="AC54" s="26" t="n">
        <x:v>-319.43500000000006</x:v>
      </x:c>
      <x:c r="AD54" s="26" t="n">
        <x:v>-325.86172</x:v>
      </x:c>
      <x:c r="AE54" s="26" t="str">
        <x:v>mol_05437</x:v>
      </x:c>
      <x:c r="AF54" s="26" t="str">
        <x:v>Pending</x:v>
      </x:c>
      <x:c r="AG54" s="26"/>
      <x:c r="AH54" s="26"/>
    </x:row>
    <x:row r="55">
      <x:c r="A55" t="str">
        <x:v>cbt_017</x:v>
      </x:c>
      <x:c r="B55" t="str">
        <x:v>Hexanol</x:v>
      </x:c>
      <x:c r="C55" t="str">
        <x:v>CCCCCCO</x:v>
      </x:c>
      <x:c r="D55" t="str">
        <x:v>PM7</x:v>
      </x:c>
      <x:c r="E55" s="28" t="b">
        <x:v>1</x:v>
      </x:c>
      <x:c r="F55" t="n">
        <x:v>0</x:v>
      </x:c>
      <x:c r="G55" t="n">
        <x:v>1</x:v>
      </x:c>
      <x:c r="H55" t="str">
        <x:v>Pending</x:v>
      </x:c>
      <x:c r="I55" t="str">
        <x:v>NOT_ATTEMPTED</x:v>
      </x:c>
      <x:c r="J55" t="str">
        <x:v>NOT_ATTEMPTED</x:v>
      </x:c>
      <x:c r="K55" t="str">
        <x:v>gfn2</x:v>
      </x:c>
      <x:c r="L55" t="str">
        <x:v>off</x:v>
      </x:c>
      <x:c r="M55" s="26" t="n">
        <x:v>6</x:v>
      </x:c>
      <x:c r="N55" s="26" t="n">
        <x:v>0.125</x:v>
      </x:c>
      <x:c r="O55" t="n">
        <x:v>4</x:v>
      </x:c>
      <x:c r="P55" t="n">
        <x:v>10</x:v>
      </x:c>
      <x:c r="Q55"/>
      <x:c r="R55"/>
      <x:c r="S55"/>
      <x:c r="T55" s="26"/>
      <x:c r="U55" s="26" t="str">
        <x:f>IF(T55="","",T55*4.184)</x:f>
      </x:c>
      <x:c r="V55" s="26"/>
      <x:c r="W55" t="str"/>
      <x:c r="X55" t="str"/>
      <x:c r="Y55" t="str"/>
      <x:c r="Z55" s="26" t="n">
        <x:v>-316.2</x:v>
      </x:c>
      <x:c r="AA55" s="26" t="n">
        <x:v>-319.4</x:v>
      </x:c>
      <x:c r="AB55" s="26" t="n">
        <x:v>-320.349</x:v>
      </x:c>
      <x:c r="AC55" s="26" t="n">
        <x:v>-319.43500000000006</x:v>
      </x:c>
      <x:c r="AD55" s="26" t="n">
        <x:v>-325.86172</x:v>
      </x:c>
      <x:c r="AE55" s="26" t="str">
        <x:v>mol_05437</x:v>
      </x:c>
      <x:c r="AF55" s="26" t="str">
        <x:v>Pending</x:v>
      </x:c>
      <x:c r="AG55" s="26"/>
      <x:c r="AH55" s="26"/>
    </x:row>
    <x:row r="56">
      <x:c r="A56" t="str">
        <x:v>cbt_018</x:v>
      </x:c>
      <x:c r="B56" t="str">
        <x:v>Heptanol</x:v>
      </x:c>
      <x:c r="C56" t="str">
        <x:v>CCCCCCCO</x:v>
      </x:c>
      <x:c r="D56" t="str">
        <x:v>AM1</x:v>
      </x:c>
      <x:c r="E56" s="28" t="b">
        <x:v>1</x:v>
      </x:c>
      <x:c r="F56" t="n">
        <x:v>0</x:v>
      </x:c>
      <x:c r="G56" t="n">
        <x:v>1</x:v>
      </x:c>
      <x:c r="H56" t="str">
        <x:v>Pending</x:v>
      </x:c>
      <x:c r="I56" t="str">
        <x:v>NOT_ATTEMPTED</x:v>
      </x:c>
      <x:c r="J56" t="str">
        <x:v>NOT_ATTEMPTED</x:v>
      </x:c>
      <x:c r="K56" t="str">
        <x:v>gfn2</x:v>
      </x:c>
      <x:c r="L56" t="str">
        <x:v>off</x:v>
      </x:c>
      <x:c r="M56" s="26" t="n">
        <x:v>6</x:v>
      </x:c>
      <x:c r="N56" s="26" t="n">
        <x:v>0.125</x:v>
      </x:c>
      <x:c r="O56" t="n">
        <x:v>4</x:v>
      </x:c>
      <x:c r="P56" t="n">
        <x:v>10</x:v>
      </x:c>
      <x:c r="Q56"/>
      <x:c r="R56"/>
      <x:c r="S56"/>
      <x:c r="T56" s="26"/>
      <x:c r="U56" s="26" t="str">
        <x:f>IF(T56="","",T56*4.184)</x:f>
      </x:c>
      <x:c r="V56" s="26"/>
      <x:c r="W56" t="str"/>
      <x:c r="X56" t="str"/>
      <x:c r="Y56" t="str"/>
      <x:c r="Z56" s="26" t="n">
        <x:v>-336.8</x:v>
      </x:c>
      <x:c r="AA56" s="26" t="n">
        <x:v>-340.04</x:v>
      </x:c>
      <x:c r="AB56" s="26" t="n">
        <x:v>-341.112</x:v>
      </x:c>
      <x:c r="AC56" s="26" t="n">
        <x:v>-340.264</x:v>
      </x:c>
      <x:c r="AD56" s="26" t="n">
        <x:v>-347.16037</x:v>
      </x:c>
      <x:c r="AE56" s="26" t="str">
        <x:v>mol_05573</x:v>
      </x:c>
      <x:c r="AF56" s="26" t="str">
        <x:v>Pending</x:v>
      </x:c>
      <x:c r="AG56" s="26"/>
      <x:c r="AH56" s="26"/>
    </x:row>
    <x:row r="57">
      <x:c r="A57" t="str">
        <x:v>cbt_018</x:v>
      </x:c>
      <x:c r="B57" t="str">
        <x:v>Heptanol</x:v>
      </x:c>
      <x:c r="C57" t="str">
        <x:v>CCCCCCCO</x:v>
      </x:c>
      <x:c r="D57" t="str">
        <x:v>PM3</x:v>
      </x:c>
      <x:c r="E57" s="28" t="b">
        <x:v>1</x:v>
      </x:c>
      <x:c r="F57" t="n">
        <x:v>0</x:v>
      </x:c>
      <x:c r="G57" t="n">
        <x:v>1</x:v>
      </x:c>
      <x:c r="H57" t="str">
        <x:v>Pending</x:v>
      </x:c>
      <x:c r="I57" t="str">
        <x:v>NOT_ATTEMPTED</x:v>
      </x:c>
      <x:c r="J57" t="str">
        <x:v>NOT_ATTEMPTED</x:v>
      </x:c>
      <x:c r="K57" t="str">
        <x:v>gfn2</x:v>
      </x:c>
      <x:c r="L57" t="str">
        <x:v>off</x:v>
      </x:c>
      <x:c r="M57" s="26" t="n">
        <x:v>6</x:v>
      </x:c>
      <x:c r="N57" s="26" t="n">
        <x:v>0.125</x:v>
      </x:c>
      <x:c r="O57" t="n">
        <x:v>4</x:v>
      </x:c>
      <x:c r="P57" t="n">
        <x:v>10</x:v>
      </x:c>
      <x:c r="Q57"/>
      <x:c r="R57"/>
      <x:c r="S57"/>
      <x:c r="T57" s="26"/>
      <x:c r="U57" s="26" t="str">
        <x:f>IF(T57="","",T57*4.184)</x:f>
      </x:c>
      <x:c r="V57" s="26"/>
      <x:c r="W57" t="str"/>
      <x:c r="X57" t="str"/>
      <x:c r="Y57" t="str"/>
      <x:c r="Z57" s="26" t="n">
        <x:v>-336.8</x:v>
      </x:c>
      <x:c r="AA57" s="26" t="n">
        <x:v>-340.04</x:v>
      </x:c>
      <x:c r="AB57" s="26" t="n">
        <x:v>-341.112</x:v>
      </x:c>
      <x:c r="AC57" s="26" t="n">
        <x:v>-340.264</x:v>
      </x:c>
      <x:c r="AD57" s="26" t="n">
        <x:v>-347.16037</x:v>
      </x:c>
      <x:c r="AE57" s="26" t="str">
        <x:v>mol_05573</x:v>
      </x:c>
      <x:c r="AF57" s="26" t="str">
        <x:v>Pending</x:v>
      </x:c>
      <x:c r="AG57" s="26"/>
      <x:c r="AH57" s="26"/>
    </x:row>
    <x:row r="58">
      <x:c r="A58" t="str">
        <x:v>cbt_018</x:v>
      </x:c>
      <x:c r="B58" t="str">
        <x:v>Heptanol</x:v>
      </x:c>
      <x:c r="C58" t="str">
        <x:v>CCCCCCCO</x:v>
      </x:c>
      <x:c r="D58" t="str">
        <x:v>PM7</x:v>
      </x:c>
      <x:c r="E58" s="28" t="b">
        <x:v>1</x:v>
      </x:c>
      <x:c r="F58" t="n">
        <x:v>0</x:v>
      </x:c>
      <x:c r="G58" t="n">
        <x:v>1</x:v>
      </x:c>
      <x:c r="H58" t="str">
        <x:v>Pending</x:v>
      </x:c>
      <x:c r="I58" t="str">
        <x:v>NOT_ATTEMPTED</x:v>
      </x:c>
      <x:c r="J58" t="str">
        <x:v>NOT_ATTEMPTED</x:v>
      </x:c>
      <x:c r="K58" t="str">
        <x:v>gfn2</x:v>
      </x:c>
      <x:c r="L58" t="str">
        <x:v>off</x:v>
      </x:c>
      <x:c r="M58" s="26" t="n">
        <x:v>6</x:v>
      </x:c>
      <x:c r="N58" s="26" t="n">
        <x:v>0.125</x:v>
      </x:c>
      <x:c r="O58" t="n">
        <x:v>4</x:v>
      </x:c>
      <x:c r="P58" t="n">
        <x:v>10</x:v>
      </x:c>
      <x:c r="Q58"/>
      <x:c r="R58"/>
      <x:c r="S58"/>
      <x:c r="T58" s="26"/>
      <x:c r="U58" s="26" t="str">
        <x:f>IF(T58="","",T58*4.184)</x:f>
      </x:c>
      <x:c r="V58" s="26"/>
      <x:c r="W58" t="str"/>
      <x:c r="X58" t="str"/>
      <x:c r="Y58" t="str"/>
      <x:c r="Z58" s="26" t="n">
        <x:v>-336.8</x:v>
      </x:c>
      <x:c r="AA58" s="26" t="n">
        <x:v>-340.04</x:v>
      </x:c>
      <x:c r="AB58" s="26" t="n">
        <x:v>-341.112</x:v>
      </x:c>
      <x:c r="AC58" s="26" t="n">
        <x:v>-340.264</x:v>
      </x:c>
      <x:c r="AD58" s="26" t="n">
        <x:v>-347.16037</x:v>
      </x:c>
      <x:c r="AE58" s="26" t="str">
        <x:v>mol_05573</x:v>
      </x:c>
      <x:c r="AF58" s="26" t="str">
        <x:v>Pending</x:v>
      </x:c>
      <x:c r="AG58" s="26"/>
      <x:c r="AH58" s="26"/>
    </x:row>
    <x:row r="59">
      <x:c r="A59" t="str">
        <x:v>cbt_019</x:v>
      </x:c>
      <x:c r="B59" t="str">
        <x:v>Octanol</x:v>
      </x:c>
      <x:c r="C59" t="str">
        <x:v>CCCCCCCCO</x:v>
      </x:c>
      <x:c r="D59" t="str">
        <x:v>AM1</x:v>
      </x:c>
      <x:c r="E59" s="28" t="b">
        <x:v>1</x:v>
      </x:c>
      <x:c r="F59" t="n">
        <x:v>0</x:v>
      </x:c>
      <x:c r="G59" t="n">
        <x:v>1</x:v>
      </x:c>
      <x:c r="H59" t="str">
        <x:v>Pending</x:v>
      </x:c>
      <x:c r="I59" t="str">
        <x:v>NOT_ATTEMPTED</x:v>
      </x:c>
      <x:c r="J59" t="str">
        <x:v>NOT_ATTEMPTED</x:v>
      </x:c>
      <x:c r="K59" t="str">
        <x:v>gfn2</x:v>
      </x:c>
      <x:c r="L59" t="str">
        <x:v>off</x:v>
      </x:c>
      <x:c r="M59" s="26" t="n">
        <x:v>6</x:v>
      </x:c>
      <x:c r="N59" s="26" t="n">
        <x:v>0.125</x:v>
      </x:c>
      <x:c r="O59" t="n">
        <x:v>4</x:v>
      </x:c>
      <x:c r="P59" t="n">
        <x:v>10</x:v>
      </x:c>
      <x:c r="Q59"/>
      <x:c r="R59"/>
      <x:c r="S59"/>
      <x:c r="T59" s="26"/>
      <x:c r="U59" s="26" t="str">
        <x:f>IF(T59="","",T59*4.184)</x:f>
      </x:c>
      <x:c r="V59" s="26"/>
      <x:c r="W59" t="str"/>
      <x:c r="X59" t="str"/>
      <x:c r="Y59" t="str"/>
      <x:c r="Z59" s="26" t="n">
        <x:v>-357.3</x:v>
      </x:c>
      <x:c r="AA59" s="26" t="n">
        <x:v>-360.68</x:v>
      </x:c>
      <x:c r="AB59" s="26" t="n">
        <x:v>-361.87500000000006</x:v>
      </x:c>
      <x:c r="AC59" s="26" t="n">
        <x:v>-361.093</x:v>
      </x:c>
      <x:c r="AD59" s="26" t="n">
        <x:v>-368.4913</x:v>
      </x:c>
      <x:c r="AE59" s="26" t="str"/>
      <x:c r="AF59" s="26" t="str"/>
      <x:c r="AG59" s="26"/>
      <x:c r="AH59" s="26"/>
    </x:row>
    <x:row r="60">
      <x:c r="A60" t="str">
        <x:v>cbt_019</x:v>
      </x:c>
      <x:c r="B60" t="str">
        <x:v>Octanol</x:v>
      </x:c>
      <x:c r="C60" t="str">
        <x:v>CCCCCCCCO</x:v>
      </x:c>
      <x:c r="D60" t="str">
        <x:v>PM3</x:v>
      </x:c>
      <x:c r="E60" s="28" t="b">
        <x:v>1</x:v>
      </x:c>
      <x:c r="F60" t="n">
        <x:v>0</x:v>
      </x:c>
      <x:c r="G60" t="n">
        <x:v>1</x:v>
      </x:c>
      <x:c r="H60" t="str">
        <x:v>Pending</x:v>
      </x:c>
      <x:c r="I60" t="str">
        <x:v>NOT_ATTEMPTED</x:v>
      </x:c>
      <x:c r="J60" t="str">
        <x:v>NOT_ATTEMPTED</x:v>
      </x:c>
      <x:c r="K60" t="str">
        <x:v>gfn2</x:v>
      </x:c>
      <x:c r="L60" t="str">
        <x:v>off</x:v>
      </x:c>
      <x:c r="M60" s="26" t="n">
        <x:v>6</x:v>
      </x:c>
      <x:c r="N60" s="26" t="n">
        <x:v>0.125</x:v>
      </x:c>
      <x:c r="O60" t="n">
        <x:v>4</x:v>
      </x:c>
      <x:c r="P60" t="n">
        <x:v>10</x:v>
      </x:c>
      <x:c r="Q60"/>
      <x:c r="R60"/>
      <x:c r="S60"/>
      <x:c r="T60" s="26"/>
      <x:c r="U60" s="26" t="str">
        <x:f>IF(T60="","",T60*4.184)</x:f>
      </x:c>
      <x:c r="V60" s="26"/>
      <x:c r="W60" t="str"/>
      <x:c r="X60" t="str"/>
      <x:c r="Y60" t="str"/>
      <x:c r="Z60" s="26" t="n">
        <x:v>-357.3</x:v>
      </x:c>
      <x:c r="AA60" s="26" t="n">
        <x:v>-360.68</x:v>
      </x:c>
      <x:c r="AB60" s="26" t="n">
        <x:v>-361.87500000000006</x:v>
      </x:c>
      <x:c r="AC60" s="26" t="n">
        <x:v>-361.093</x:v>
      </x:c>
      <x:c r="AD60" s="26" t="n">
        <x:v>-368.4913</x:v>
      </x:c>
      <x:c r="AE60" s="26" t="str"/>
      <x:c r="AF60" s="26" t="str"/>
      <x:c r="AG60" s="26"/>
      <x:c r="AH60" s="26"/>
    </x:row>
    <x:row r="61">
      <x:c r="A61" t="str">
        <x:v>cbt_019</x:v>
      </x:c>
      <x:c r="B61" t="str">
        <x:v>Octanol</x:v>
      </x:c>
      <x:c r="C61" t="str">
        <x:v>CCCCCCCCO</x:v>
      </x:c>
      <x:c r="D61" t="str">
        <x:v>PM7</x:v>
      </x:c>
      <x:c r="E61" s="28" t="b">
        <x:v>1</x:v>
      </x:c>
      <x:c r="F61" t="n">
        <x:v>0</x:v>
      </x:c>
      <x:c r="G61" t="n">
        <x:v>1</x:v>
      </x:c>
      <x:c r="H61" t="str">
        <x:v>Pending</x:v>
      </x:c>
      <x:c r="I61" t="str">
        <x:v>NOT_ATTEMPTED</x:v>
      </x:c>
      <x:c r="J61" t="str">
        <x:v>NOT_ATTEMPTED</x:v>
      </x:c>
      <x:c r="K61" t="str">
        <x:v>gfn2</x:v>
      </x:c>
      <x:c r="L61" t="str">
        <x:v>off</x:v>
      </x:c>
      <x:c r="M61" s="26" t="n">
        <x:v>6</x:v>
      </x:c>
      <x:c r="N61" s="26" t="n">
        <x:v>0.125</x:v>
      </x:c>
      <x:c r="O61" t="n">
        <x:v>4</x:v>
      </x:c>
      <x:c r="P61" t="n">
        <x:v>10</x:v>
      </x:c>
      <x:c r="Q61"/>
      <x:c r="R61"/>
      <x:c r="S61"/>
      <x:c r="T61" s="26"/>
      <x:c r="U61" s="26" t="str">
        <x:f>IF(T61="","",T61*4.184)</x:f>
      </x:c>
      <x:c r="V61" s="26"/>
      <x:c r="W61" t="str"/>
      <x:c r="X61" t="str"/>
      <x:c r="Y61" t="str"/>
      <x:c r="Z61" s="26" t="n">
        <x:v>-357.3</x:v>
      </x:c>
      <x:c r="AA61" s="26" t="n">
        <x:v>-360.68</x:v>
      </x:c>
      <x:c r="AB61" s="26" t="n">
        <x:v>-361.87500000000006</x:v>
      </x:c>
      <x:c r="AC61" s="26" t="n">
        <x:v>-361.093</x:v>
      </x:c>
      <x:c r="AD61" s="26" t="n">
        <x:v>-368.4913</x:v>
      </x:c>
      <x:c r="AE61" s="26" t="str"/>
      <x:c r="AF61" s="26" t="str"/>
      <x:c r="AG61" s="26"/>
      <x:c r="AH61" s="26"/>
    </x:row>
    <x:row r="62">
      <x:c r="A62" t="str">
        <x:v>cbt_020</x:v>
      </x:c>
      <x:c r="B62" t="str">
        <x:v>Methyl acetate</x:v>
      </x:c>
      <x:c r="C62" t="str">
        <x:v>CC(=O)OC</x:v>
      </x:c>
      <x:c r="D62" t="str">
        <x:v>AM1</x:v>
      </x:c>
      <x:c r="E62" s="28" t="b">
        <x:v>1</x:v>
      </x:c>
      <x:c r="F62" t="n">
        <x:v>0</x:v>
      </x:c>
      <x:c r="G62" t="n">
        <x:v>1</x:v>
      </x:c>
      <x:c r="H62" t="str">
        <x:v>Pending</x:v>
      </x:c>
      <x:c r="I62" t="str">
        <x:v>NOT_ATTEMPTED</x:v>
      </x:c>
      <x:c r="J62" t="str">
        <x:v>NOT_ATTEMPTED</x:v>
      </x:c>
      <x:c r="K62" t="str">
        <x:v>gfn2</x:v>
      </x:c>
      <x:c r="L62" t="str">
        <x:v>off</x:v>
      </x:c>
      <x:c r="M62" s="26" t="n">
        <x:v>6</x:v>
      </x:c>
      <x:c r="N62" s="26" t="n">
        <x:v>0.125</x:v>
      </x:c>
      <x:c r="O62" t="n">
        <x:v>4</x:v>
      </x:c>
      <x:c r="P62" t="n">
        <x:v>10</x:v>
      </x:c>
      <x:c r="Q62"/>
      <x:c r="R62"/>
      <x:c r="S62"/>
      <x:c r="T62" s="26"/>
      <x:c r="U62" s="26" t="str">
        <x:f>IF(T62="","",T62*4.184)</x:f>
      </x:c>
      <x:c r="V62" s="26"/>
      <x:c r="W62" t="str"/>
      <x:c r="X62" t="str"/>
      <x:c r="Y62" t="str"/>
      <x:c r="Z62" s="26" t="n">
        <x:v>-411.9</x:v>
      </x:c>
      <x:c r="AA62" s="26" t="n">
        <x:v>-422.53000000000003</x:v>
      </x:c>
      <x:c r="AB62" s="26" t="n">
        <x:v>-424.84900000000005</x:v>
      </x:c>
      <x:c r="AC62" s="26" t="n">
        <x:v>-424.38800000000003</x:v>
      </x:c>
      <x:c r="AD62" s="26" t="n">
        <x:v>-405.05317</x:v>
      </x:c>
      <x:c r="AE62" s="26" t="str"/>
      <x:c r="AF62" s="26" t="str"/>
      <x:c r="AG62" s="26"/>
      <x:c r="AH62" s="26"/>
    </x:row>
    <x:row r="63">
      <x:c r="A63" t="str">
        <x:v>cbt_020</x:v>
      </x:c>
      <x:c r="B63" t="str">
        <x:v>Methyl acetate</x:v>
      </x:c>
      <x:c r="C63" t="str">
        <x:v>CC(=O)OC</x:v>
      </x:c>
      <x:c r="D63" t="str">
        <x:v>PM3</x:v>
      </x:c>
      <x:c r="E63" s="28" t="b">
        <x:v>1</x:v>
      </x:c>
      <x:c r="F63" t="n">
        <x:v>0</x:v>
      </x:c>
      <x:c r="G63" t="n">
        <x:v>1</x:v>
      </x:c>
      <x:c r="H63" t="str">
        <x:v>Pending</x:v>
      </x:c>
      <x:c r="I63" t="str">
        <x:v>NOT_ATTEMPTED</x:v>
      </x:c>
      <x:c r="J63" t="str">
        <x:v>NOT_ATTEMPTED</x:v>
      </x:c>
      <x:c r="K63" t="str">
        <x:v>gfn2</x:v>
      </x:c>
      <x:c r="L63" t="str">
        <x:v>off</x:v>
      </x:c>
      <x:c r="M63" s="26" t="n">
        <x:v>6</x:v>
      </x:c>
      <x:c r="N63" s="26" t="n">
        <x:v>0.125</x:v>
      </x:c>
      <x:c r="O63" t="n">
        <x:v>4</x:v>
      </x:c>
      <x:c r="P63" t="n">
        <x:v>10</x:v>
      </x:c>
      <x:c r="Q63"/>
      <x:c r="R63"/>
      <x:c r="S63"/>
      <x:c r="T63" s="26"/>
      <x:c r="U63" s="26" t="str">
        <x:f>IF(T63="","",T63*4.184)</x:f>
      </x:c>
      <x:c r="V63" s="26"/>
      <x:c r="W63" t="str"/>
      <x:c r="X63" t="str"/>
      <x:c r="Y63" t="str"/>
      <x:c r="Z63" s="26" t="n">
        <x:v>-411.9</x:v>
      </x:c>
      <x:c r="AA63" s="26" t="n">
        <x:v>-422.53000000000003</x:v>
      </x:c>
      <x:c r="AB63" s="26" t="n">
        <x:v>-424.84900000000005</x:v>
      </x:c>
      <x:c r="AC63" s="26" t="n">
        <x:v>-424.38800000000003</x:v>
      </x:c>
      <x:c r="AD63" s="26" t="n">
        <x:v>-405.05317</x:v>
      </x:c>
      <x:c r="AE63" s="26" t="str"/>
      <x:c r="AF63" s="26" t="str"/>
      <x:c r="AG63" s="26"/>
      <x:c r="AH63" s="26"/>
    </x:row>
    <x:row r="64">
      <x:c r="A64" t="str">
        <x:v>cbt_020</x:v>
      </x:c>
      <x:c r="B64" t="str">
        <x:v>Methyl acetate</x:v>
      </x:c>
      <x:c r="C64" t="str">
        <x:v>CC(=O)OC</x:v>
      </x:c>
      <x:c r="D64" t="str">
        <x:v>PM7</x:v>
      </x:c>
      <x:c r="E64" s="28" t="b">
        <x:v>1</x:v>
      </x:c>
      <x:c r="F64" t="n">
        <x:v>0</x:v>
      </x:c>
      <x:c r="G64" t="n">
        <x:v>1</x:v>
      </x:c>
      <x:c r="H64" t="str">
        <x:v>Pending</x:v>
      </x:c>
      <x:c r="I64" t="str">
        <x:v>NOT_ATTEMPTED</x:v>
      </x:c>
      <x:c r="J64" t="str">
        <x:v>NOT_ATTEMPTED</x:v>
      </x:c>
      <x:c r="K64" t="str">
        <x:v>gfn2</x:v>
      </x:c>
      <x:c r="L64" t="str">
        <x:v>off</x:v>
      </x:c>
      <x:c r="M64" s="26" t="n">
        <x:v>6</x:v>
      </x:c>
      <x:c r="N64" s="26" t="n">
        <x:v>0.125</x:v>
      </x:c>
      <x:c r="O64" t="n">
        <x:v>4</x:v>
      </x:c>
      <x:c r="P64" t="n">
        <x:v>10</x:v>
      </x:c>
      <x:c r="Q64"/>
      <x:c r="R64"/>
      <x:c r="S64"/>
      <x:c r="T64" s="26"/>
      <x:c r="U64" s="26" t="str">
        <x:f>IF(T64="","",T64*4.184)</x:f>
      </x:c>
      <x:c r="V64" s="26"/>
      <x:c r="W64" t="str"/>
      <x:c r="X64" t="str"/>
      <x:c r="Y64" t="str"/>
      <x:c r="Z64" s="26" t="n">
        <x:v>-411.9</x:v>
      </x:c>
      <x:c r="AA64" s="26" t="n">
        <x:v>-422.53000000000003</x:v>
      </x:c>
      <x:c r="AB64" s="26" t="n">
        <x:v>-424.84900000000005</x:v>
      </x:c>
      <x:c r="AC64" s="26" t="n">
        <x:v>-424.38800000000003</x:v>
      </x:c>
      <x:c r="AD64" s="26" t="n">
        <x:v>-405.05317</x:v>
      </x:c>
      <x:c r="AE64" s="26" t="str"/>
      <x:c r="AF64" s="26" t="str"/>
      <x:c r="AG64" s="26"/>
      <x:c r="AH64" s="26"/>
    </x:row>
    <x:row r="65">
      <x:c r="A65" t="str">
        <x:v>cbt_021</x:v>
      </x:c>
      <x:c r="B65" t="str">
        <x:v>Methyl propionate</x:v>
      </x:c>
      <x:c r="C65" t="str">
        <x:v>CCC(=O)OC</x:v>
      </x:c>
      <x:c r="D65" t="str">
        <x:v>AM1</x:v>
      </x:c>
      <x:c r="E65" s="28" t="b">
        <x:v>1</x:v>
      </x:c>
      <x:c r="F65" t="n">
        <x:v>0</x:v>
      </x:c>
      <x:c r="G65" t="n">
        <x:v>1</x:v>
      </x:c>
      <x:c r="H65" t="str">
        <x:v>Pending</x:v>
      </x:c>
      <x:c r="I65" t="str">
        <x:v>NOT_ATTEMPTED</x:v>
      </x:c>
      <x:c r="J65" t="str">
        <x:v>NOT_ATTEMPTED</x:v>
      </x:c>
      <x:c r="K65" t="str">
        <x:v>gfn2</x:v>
      </x:c>
      <x:c r="L65" t="str">
        <x:v>off</x:v>
      </x:c>
      <x:c r="M65" s="26" t="n">
        <x:v>6</x:v>
      </x:c>
      <x:c r="N65" s="26" t="n">
        <x:v>0.125</x:v>
      </x:c>
      <x:c r="O65" t="n">
        <x:v>4</x:v>
      </x:c>
      <x:c r="P65" t="n">
        <x:v>10</x:v>
      </x:c>
      <x:c r="Q65"/>
      <x:c r="R65"/>
      <x:c r="S65"/>
      <x:c r="T65" s="26"/>
      <x:c r="U65" s="26" t="str">
        <x:f>IF(T65="","",T65*4.184)</x:f>
      </x:c>
      <x:c r="V65" s="26"/>
      <x:c r="W65" t="str"/>
      <x:c r="X65" t="str"/>
      <x:c r="Y65" t="str"/>
      <x:c r="Z65" s="26" t="n">
        <x:v>-427.5</x:v>
      </x:c>
      <x:c r="AA65" s="26" t="n">
        <x:v>-443.17</x:v>
      </x:c>
      <x:c r="AB65" s="26" t="n">
        <x:v>-440.317</x:v>
      </x:c>
      <x:c r="AC65" s="26" t="n">
        <x:v>-443.61300000000006</x:v>
      </x:c>
      <x:c r="AD65" s="26" t="n">
        <x:v>-423.65167</x:v>
      </x:c>
      <x:c r="AE65" s="26" t="str">
        <x:v>mol_03435</x:v>
      </x:c>
      <x:c r="AF65" s="26" t="str">
        <x:v>Pending</x:v>
      </x:c>
      <x:c r="AG65" s="26"/>
      <x:c r="AH65" s="26"/>
    </x:row>
    <x:row r="66">
      <x:c r="A66" t="str">
        <x:v>cbt_021</x:v>
      </x:c>
      <x:c r="B66" t="str">
        <x:v>Methyl propionate</x:v>
      </x:c>
      <x:c r="C66" t="str">
        <x:v>CCC(=O)OC</x:v>
      </x:c>
      <x:c r="D66" t="str">
        <x:v>PM3</x:v>
      </x:c>
      <x:c r="E66" s="28" t="b">
        <x:v>1</x:v>
      </x:c>
      <x:c r="F66" t="n">
        <x:v>0</x:v>
      </x:c>
      <x:c r="G66" t="n">
        <x:v>1</x:v>
      </x:c>
      <x:c r="H66" t="str">
        <x:v>Pending</x:v>
      </x:c>
      <x:c r="I66" t="str">
        <x:v>NOT_ATTEMPTED</x:v>
      </x:c>
      <x:c r="J66" t="str">
        <x:v>NOT_ATTEMPTED</x:v>
      </x:c>
      <x:c r="K66" t="str">
        <x:v>gfn2</x:v>
      </x:c>
      <x:c r="L66" t="str">
        <x:v>off</x:v>
      </x:c>
      <x:c r="M66" s="26" t="n">
        <x:v>6</x:v>
      </x:c>
      <x:c r="N66" s="26" t="n">
        <x:v>0.125</x:v>
      </x:c>
      <x:c r="O66" t="n">
        <x:v>4</x:v>
      </x:c>
      <x:c r="P66" t="n">
        <x:v>10</x:v>
      </x:c>
      <x:c r="Q66"/>
      <x:c r="R66"/>
      <x:c r="S66"/>
      <x:c r="T66" s="26"/>
      <x:c r="U66" s="26" t="str">
        <x:f>IF(T66="","",T66*4.184)</x:f>
      </x:c>
      <x:c r="V66" s="26"/>
      <x:c r="W66" t="str"/>
      <x:c r="X66" t="str"/>
      <x:c r="Y66" t="str"/>
      <x:c r="Z66" s="26" t="n">
        <x:v>-427.5</x:v>
      </x:c>
      <x:c r="AA66" s="26" t="n">
        <x:v>-443.17</x:v>
      </x:c>
      <x:c r="AB66" s="26" t="n">
        <x:v>-440.317</x:v>
      </x:c>
      <x:c r="AC66" s="26" t="n">
        <x:v>-443.61300000000006</x:v>
      </x:c>
      <x:c r="AD66" s="26" t="n">
        <x:v>-423.65167</x:v>
      </x:c>
      <x:c r="AE66" s="26" t="str">
        <x:v>mol_03435</x:v>
      </x:c>
      <x:c r="AF66" s="26" t="str">
        <x:v>Pending</x:v>
      </x:c>
      <x:c r="AG66" s="26"/>
      <x:c r="AH66" s="26"/>
    </x:row>
    <x:row r="67">
      <x:c r="A67" t="str">
        <x:v>cbt_021</x:v>
      </x:c>
      <x:c r="B67" t="str">
        <x:v>Methyl propionate</x:v>
      </x:c>
      <x:c r="C67" t="str">
        <x:v>CCC(=O)OC</x:v>
      </x:c>
      <x:c r="D67" t="str">
        <x:v>PM7</x:v>
      </x:c>
      <x:c r="E67" s="28" t="b">
        <x:v>1</x:v>
      </x:c>
      <x:c r="F67" t="n">
        <x:v>0</x:v>
      </x:c>
      <x:c r="G67" t="n">
        <x:v>1</x:v>
      </x:c>
      <x:c r="H67" t="str">
        <x:v>Pending</x:v>
      </x:c>
      <x:c r="I67" t="str">
        <x:v>NOT_ATTEMPTED</x:v>
      </x:c>
      <x:c r="J67" t="str">
        <x:v>NOT_ATTEMPTED</x:v>
      </x:c>
      <x:c r="K67" t="str">
        <x:v>gfn2</x:v>
      </x:c>
      <x:c r="L67" t="str">
        <x:v>off</x:v>
      </x:c>
      <x:c r="M67" s="26" t="n">
        <x:v>6</x:v>
      </x:c>
      <x:c r="N67" s="26" t="n">
        <x:v>0.125</x:v>
      </x:c>
      <x:c r="O67" t="n">
        <x:v>4</x:v>
      </x:c>
      <x:c r="P67" t="n">
        <x:v>10</x:v>
      </x:c>
      <x:c r="Q67"/>
      <x:c r="R67"/>
      <x:c r="S67"/>
      <x:c r="T67" s="26"/>
      <x:c r="U67" s="26" t="str">
        <x:f>IF(T67="","",T67*4.184)</x:f>
      </x:c>
      <x:c r="V67" s="26"/>
      <x:c r="W67" t="str"/>
      <x:c r="X67" t="str"/>
      <x:c r="Y67" t="str"/>
      <x:c r="Z67" s="26" t="n">
        <x:v>-427.5</x:v>
      </x:c>
      <x:c r="AA67" s="26" t="n">
        <x:v>-443.17</x:v>
      </x:c>
      <x:c r="AB67" s="26" t="n">
        <x:v>-440.317</x:v>
      </x:c>
      <x:c r="AC67" s="26" t="n">
        <x:v>-443.61300000000006</x:v>
      </x:c>
      <x:c r="AD67" s="26" t="n">
        <x:v>-423.65167</x:v>
      </x:c>
      <x:c r="AE67" s="26" t="str">
        <x:v>mol_03435</x:v>
      </x:c>
      <x:c r="AF67" s="26" t="str">
        <x:v>Pending</x:v>
      </x:c>
      <x:c r="AG67" s="26"/>
      <x:c r="AH67" s="26"/>
    </x:row>
    <x:row r="68">
      <x:c r="A68" t="str">
        <x:v>cbt_022</x:v>
      </x:c>
      <x:c r="B68" t="str">
        <x:v>Methyl butyrate</x:v>
      </x:c>
      <x:c r="C68" t="str">
        <x:v>CCCC(=O)OC</x:v>
      </x:c>
      <x:c r="D68" t="str">
        <x:v>AM1</x:v>
      </x:c>
      <x:c r="E68" s="28" t="b">
        <x:v>1</x:v>
      </x:c>
      <x:c r="F68" t="n">
        <x:v>0</x:v>
      </x:c>
      <x:c r="G68" t="n">
        <x:v>1</x:v>
      </x:c>
      <x:c r="H68" t="str">
        <x:v>Pending</x:v>
      </x:c>
      <x:c r="I68" t="str">
        <x:v>NOT_ATTEMPTED</x:v>
      </x:c>
      <x:c r="J68" t="str">
        <x:v>NOT_ATTEMPTED</x:v>
      </x:c>
      <x:c r="K68" t="str">
        <x:v>gfn2</x:v>
      </x:c>
      <x:c r="L68" t="str">
        <x:v>off</x:v>
      </x:c>
      <x:c r="M68" s="26" t="n">
        <x:v>6</x:v>
      </x:c>
      <x:c r="N68" s="26" t="n">
        <x:v>0.125</x:v>
      </x:c>
      <x:c r="O68" t="n">
        <x:v>4</x:v>
      </x:c>
      <x:c r="P68" t="n">
        <x:v>10</x:v>
      </x:c>
      <x:c r="Q68"/>
      <x:c r="R68"/>
      <x:c r="S68"/>
      <x:c r="T68" s="26"/>
      <x:c r="U68" s="26" t="str">
        <x:f>IF(T68="","",T68*4.184)</x:f>
      </x:c>
      <x:c r="V68" s="26"/>
      <x:c r="W68" t="str"/>
      <x:c r="X68" t="str"/>
      <x:c r="Y68" t="str"/>
      <x:c r="Z68" s="26" t="n">
        <x:v>-450.7</x:v>
      </x:c>
      <x:c r="AA68" s="26" t="n">
        <x:v>-463.81</x:v>
      </x:c>
      <x:c r="AB68" s="26" t="n">
        <x:v>-461.08</x:v>
      </x:c>
      <x:c r="AC68" s="26" t="n">
        <x:v>-464.442</x:v>
      </x:c>
      <x:c r="AD68" s="26" t="n">
        <x:v>-445.40576</x:v>
      </x:c>
      <x:c r="AE68" s="26" t="str">
        <x:v>mol_03513</x:v>
      </x:c>
      <x:c r="AF68" s="26" t="str">
        <x:v>Pending</x:v>
      </x:c>
      <x:c r="AG68" s="26"/>
      <x:c r="AH68" s="26"/>
    </x:row>
    <x:row r="69">
      <x:c r="A69" t="str">
        <x:v>cbt_022</x:v>
      </x:c>
      <x:c r="B69" t="str">
        <x:v>Methyl butyrate</x:v>
      </x:c>
      <x:c r="C69" t="str">
        <x:v>CCCC(=O)OC</x:v>
      </x:c>
      <x:c r="D69" t="str">
        <x:v>PM3</x:v>
      </x:c>
      <x:c r="E69" s="28" t="b">
        <x:v>1</x:v>
      </x:c>
      <x:c r="F69" t="n">
        <x:v>0</x:v>
      </x:c>
      <x:c r="G69" t="n">
        <x:v>1</x:v>
      </x:c>
      <x:c r="H69" t="str">
        <x:v>Pending</x:v>
      </x:c>
      <x:c r="I69" t="str">
        <x:v>NOT_ATTEMPTED</x:v>
      </x:c>
      <x:c r="J69" t="str">
        <x:v>NOT_ATTEMPTED</x:v>
      </x:c>
      <x:c r="K69" t="str">
        <x:v>gfn2</x:v>
      </x:c>
      <x:c r="L69" t="str">
        <x:v>off</x:v>
      </x:c>
      <x:c r="M69" s="26" t="n">
        <x:v>6</x:v>
      </x:c>
      <x:c r="N69" s="26" t="n">
        <x:v>0.125</x:v>
      </x:c>
      <x:c r="O69" t="n">
        <x:v>4</x:v>
      </x:c>
      <x:c r="P69" t="n">
        <x:v>10</x:v>
      </x:c>
      <x:c r="Q69"/>
      <x:c r="R69"/>
      <x:c r="S69"/>
      <x:c r="T69" s="26"/>
      <x:c r="U69" s="26" t="str">
        <x:f>IF(T69="","",T69*4.184)</x:f>
      </x:c>
      <x:c r="V69" s="26"/>
      <x:c r="W69" t="str"/>
      <x:c r="X69" t="str"/>
      <x:c r="Y69" t="str"/>
      <x:c r="Z69" s="26" t="n">
        <x:v>-450.7</x:v>
      </x:c>
      <x:c r="AA69" s="26" t="n">
        <x:v>-463.81</x:v>
      </x:c>
      <x:c r="AB69" s="26" t="n">
        <x:v>-461.08</x:v>
      </x:c>
      <x:c r="AC69" s="26" t="n">
        <x:v>-464.442</x:v>
      </x:c>
      <x:c r="AD69" s="26" t="n">
        <x:v>-445.40576</x:v>
      </x:c>
      <x:c r="AE69" s="26" t="str">
        <x:v>mol_03513</x:v>
      </x:c>
      <x:c r="AF69" s="26" t="str">
        <x:v>Pending</x:v>
      </x:c>
      <x:c r="AG69" s="26"/>
      <x:c r="AH69" s="26"/>
    </x:row>
    <x:row r="70">
      <x:c r="A70" t="str">
        <x:v>cbt_022</x:v>
      </x:c>
      <x:c r="B70" t="str">
        <x:v>Methyl butyrate</x:v>
      </x:c>
      <x:c r="C70" t="str">
        <x:v>CCCC(=O)OC</x:v>
      </x:c>
      <x:c r="D70" t="str">
        <x:v>PM7</x:v>
      </x:c>
      <x:c r="E70" s="28" t="b">
        <x:v>1</x:v>
      </x:c>
      <x:c r="F70" t="n">
        <x:v>0</x:v>
      </x:c>
      <x:c r="G70" t="n">
        <x:v>1</x:v>
      </x:c>
      <x:c r="H70" t="str">
        <x:v>Pending</x:v>
      </x:c>
      <x:c r="I70" t="str">
        <x:v>NOT_ATTEMPTED</x:v>
      </x:c>
      <x:c r="J70" t="str">
        <x:v>NOT_ATTEMPTED</x:v>
      </x:c>
      <x:c r="K70" t="str">
        <x:v>gfn2</x:v>
      </x:c>
      <x:c r="L70" t="str">
        <x:v>off</x:v>
      </x:c>
      <x:c r="M70" s="26" t="n">
        <x:v>6</x:v>
      </x:c>
      <x:c r="N70" s="26" t="n">
        <x:v>0.125</x:v>
      </x:c>
      <x:c r="O70" t="n">
        <x:v>4</x:v>
      </x:c>
      <x:c r="P70" t="n">
        <x:v>10</x:v>
      </x:c>
      <x:c r="Q70"/>
      <x:c r="R70"/>
      <x:c r="S70"/>
      <x:c r="T70" s="26"/>
      <x:c r="U70" s="26" t="str">
        <x:f>IF(T70="","",T70*4.184)</x:f>
      </x:c>
      <x:c r="V70" s="26"/>
      <x:c r="W70" t="str"/>
      <x:c r="X70" t="str"/>
      <x:c r="Y70" t="str"/>
      <x:c r="Z70" s="26" t="n">
        <x:v>-450.7</x:v>
      </x:c>
      <x:c r="AA70" s="26" t="n">
        <x:v>-463.81</x:v>
      </x:c>
      <x:c r="AB70" s="26" t="n">
        <x:v>-461.08</x:v>
      </x:c>
      <x:c r="AC70" s="26" t="n">
        <x:v>-464.442</x:v>
      </x:c>
      <x:c r="AD70" s="26" t="n">
        <x:v>-445.40576</x:v>
      </x:c>
      <x:c r="AE70" s="26" t="str">
        <x:v>mol_03513</x:v>
      </x:c>
      <x:c r="AF70" s="26" t="str">
        <x:v>Pending</x:v>
      </x:c>
      <x:c r="AG70" s="26"/>
      <x:c r="AH70" s="26"/>
    </x:row>
    <x:row r="71">
      <x:c r="A71" t="str">
        <x:v>cbt_023</x:v>
      </x:c>
      <x:c r="B71" t="str">
        <x:v>Methyl pentanoate</x:v>
      </x:c>
      <x:c r="C71" t="str">
        <x:v>CCCCC(=O)OC</x:v>
      </x:c>
      <x:c r="D71" t="str">
        <x:v>AM1</x:v>
      </x:c>
      <x:c r="E71" s="28" t="b">
        <x:v>1</x:v>
      </x:c>
      <x:c r="F71" t="n">
        <x:v>0</x:v>
      </x:c>
      <x:c r="G71" t="n">
        <x:v>1</x:v>
      </x:c>
      <x:c r="H71" t="str">
        <x:v>Pending</x:v>
      </x:c>
      <x:c r="I71" t="str">
        <x:v>NOT_ATTEMPTED</x:v>
      </x:c>
      <x:c r="J71" t="str">
        <x:v>NOT_ATTEMPTED</x:v>
      </x:c>
      <x:c r="K71" t="str">
        <x:v>gfn2</x:v>
      </x:c>
      <x:c r="L71" t="str">
        <x:v>off</x:v>
      </x:c>
      <x:c r="M71" s="26" t="n">
        <x:v>6</x:v>
      </x:c>
      <x:c r="N71" s="26" t="n">
        <x:v>0.125</x:v>
      </x:c>
      <x:c r="O71" t="n">
        <x:v>4</x:v>
      </x:c>
      <x:c r="P71" t="n">
        <x:v>10</x:v>
      </x:c>
      <x:c r="Q71"/>
      <x:c r="R71"/>
      <x:c r="S71"/>
      <x:c r="T71" s="26"/>
      <x:c r="U71" s="26" t="str">
        <x:f>IF(T71="","",T71*4.184)</x:f>
      </x:c>
      <x:c r="V71" s="26"/>
      <x:c r="W71" t="str"/>
      <x:c r="X71" t="str"/>
      <x:c r="Y71" t="str"/>
      <x:c r="Z71" s="26" t="n">
        <x:v>-471.1</x:v>
      </x:c>
      <x:c r="AA71" s="26" t="n">
        <x:v>-484.45</x:v>
      </x:c>
      <x:c r="AB71" s="26" t="n">
        <x:v>-481.843</x:v>
      </x:c>
      <x:c r="AC71" s="26" t="n">
        <x:v>-485.271</x:v>
      </x:c>
      <x:c r="AD71" s="26" t="n">
        <x:v>-466.21327</x:v>
      </x:c>
      <x:c r="AE71" s="26" t="str">
        <x:v>mol_03606</x:v>
      </x:c>
      <x:c r="AF71" s="26" t="str">
        <x:v>Pending</x:v>
      </x:c>
      <x:c r="AG71" s="26"/>
      <x:c r="AH71" s="26"/>
    </x:row>
    <x:row r="72">
      <x:c r="A72" t="str">
        <x:v>cbt_023</x:v>
      </x:c>
      <x:c r="B72" t="str">
        <x:v>Methyl pentanoate</x:v>
      </x:c>
      <x:c r="C72" t="str">
        <x:v>CCCCC(=O)OC</x:v>
      </x:c>
      <x:c r="D72" t="str">
        <x:v>PM3</x:v>
      </x:c>
      <x:c r="E72" s="28" t="b">
        <x:v>1</x:v>
      </x:c>
      <x:c r="F72" t="n">
        <x:v>0</x:v>
      </x:c>
      <x:c r="G72" t="n">
        <x:v>1</x:v>
      </x:c>
      <x:c r="H72" t="str">
        <x:v>Pending</x:v>
      </x:c>
      <x:c r="I72" t="str">
        <x:v>NOT_ATTEMPTED</x:v>
      </x:c>
      <x:c r="J72" t="str">
        <x:v>NOT_ATTEMPTED</x:v>
      </x:c>
      <x:c r="K72" t="str">
        <x:v>gfn2</x:v>
      </x:c>
      <x:c r="L72" t="str">
        <x:v>off</x:v>
      </x:c>
      <x:c r="M72" s="26" t="n">
        <x:v>6</x:v>
      </x:c>
      <x:c r="N72" s="26" t="n">
        <x:v>0.125</x:v>
      </x:c>
      <x:c r="O72" t="n">
        <x:v>4</x:v>
      </x:c>
      <x:c r="P72" t="n">
        <x:v>10</x:v>
      </x:c>
      <x:c r="Q72"/>
      <x:c r="R72"/>
      <x:c r="S72"/>
      <x:c r="T72" s="26"/>
      <x:c r="U72" s="26" t="str">
        <x:f>IF(T72="","",T72*4.184)</x:f>
      </x:c>
      <x:c r="V72" s="26"/>
      <x:c r="W72" t="str"/>
      <x:c r="X72" t="str"/>
      <x:c r="Y72" t="str"/>
      <x:c r="Z72" s="26" t="n">
        <x:v>-471.1</x:v>
      </x:c>
      <x:c r="AA72" s="26" t="n">
        <x:v>-484.45</x:v>
      </x:c>
      <x:c r="AB72" s="26" t="n">
        <x:v>-481.843</x:v>
      </x:c>
      <x:c r="AC72" s="26" t="n">
        <x:v>-485.271</x:v>
      </x:c>
      <x:c r="AD72" s="26" t="n">
        <x:v>-466.21327</x:v>
      </x:c>
      <x:c r="AE72" s="26" t="str">
        <x:v>mol_03606</x:v>
      </x:c>
      <x:c r="AF72" s="26" t="str">
        <x:v>Pending</x:v>
      </x:c>
      <x:c r="AG72" s="26"/>
      <x:c r="AH72" s="26"/>
    </x:row>
    <x:row r="73">
      <x:c r="A73" t="str">
        <x:v>cbt_023</x:v>
      </x:c>
      <x:c r="B73" t="str">
        <x:v>Methyl pentanoate</x:v>
      </x:c>
      <x:c r="C73" t="str">
        <x:v>CCCCC(=O)OC</x:v>
      </x:c>
      <x:c r="D73" t="str">
        <x:v>PM7</x:v>
      </x:c>
      <x:c r="E73" s="28" t="b">
        <x:v>1</x:v>
      </x:c>
      <x:c r="F73" t="n">
        <x:v>0</x:v>
      </x:c>
      <x:c r="G73" t="n">
        <x:v>1</x:v>
      </x:c>
      <x:c r="H73" t="str">
        <x:v>Pending</x:v>
      </x:c>
      <x:c r="I73" t="str">
        <x:v>NOT_ATTEMPTED</x:v>
      </x:c>
      <x:c r="J73" t="str">
        <x:v>NOT_ATTEMPTED</x:v>
      </x:c>
      <x:c r="K73" t="str">
        <x:v>gfn2</x:v>
      </x:c>
      <x:c r="L73" t="str">
        <x:v>off</x:v>
      </x:c>
      <x:c r="M73" s="26" t="n">
        <x:v>6</x:v>
      </x:c>
      <x:c r="N73" s="26" t="n">
        <x:v>0.125</x:v>
      </x:c>
      <x:c r="O73" t="n">
        <x:v>4</x:v>
      </x:c>
      <x:c r="P73" t="n">
        <x:v>10</x:v>
      </x:c>
      <x:c r="Q73"/>
      <x:c r="R73"/>
      <x:c r="S73"/>
      <x:c r="T73" s="26"/>
      <x:c r="U73" s="26" t="str">
        <x:f>IF(T73="","",T73*4.184)</x:f>
      </x:c>
      <x:c r="V73" s="26"/>
      <x:c r="W73" t="str"/>
      <x:c r="X73" t="str"/>
      <x:c r="Y73" t="str"/>
      <x:c r="Z73" s="26" t="n">
        <x:v>-471.1</x:v>
      </x:c>
      <x:c r="AA73" s="26" t="n">
        <x:v>-484.45</x:v>
      </x:c>
      <x:c r="AB73" s="26" t="n">
        <x:v>-481.843</x:v>
      </x:c>
      <x:c r="AC73" s="26" t="n">
        <x:v>-485.271</x:v>
      </x:c>
      <x:c r="AD73" s="26" t="n">
        <x:v>-466.21327</x:v>
      </x:c>
      <x:c r="AE73" s="26" t="str">
        <x:v>mol_03606</x:v>
      </x:c>
      <x:c r="AF73" s="26" t="str">
        <x:v>Pending</x:v>
      </x:c>
      <x:c r="AG73" s="26"/>
      <x:c r="AH73" s="26"/>
    </x:row>
    <x:row r="74">
      <x:c r="A74" t="str">
        <x:v>cbt_024</x:v>
      </x:c>
      <x:c r="B74" t="str">
        <x:v>Methyl hexanoate</x:v>
      </x:c>
      <x:c r="C74" t="str">
        <x:v>CCCCCC(=O)OC</x:v>
      </x:c>
      <x:c r="D74" t="str">
        <x:v>AM1</x:v>
      </x:c>
      <x:c r="E74" s="28" t="b">
        <x:v>1</x:v>
      </x:c>
      <x:c r="F74" t="n">
        <x:v>0</x:v>
      </x:c>
      <x:c r="G74" t="n">
        <x:v>1</x:v>
      </x:c>
      <x:c r="H74" t="str">
        <x:v>Pending</x:v>
      </x:c>
      <x:c r="I74" t="str">
        <x:v>NOT_ATTEMPTED</x:v>
      </x:c>
      <x:c r="J74" t="str">
        <x:v>NOT_ATTEMPTED</x:v>
      </x:c>
      <x:c r="K74" t="str">
        <x:v>gfn2</x:v>
      </x:c>
      <x:c r="L74" t="str">
        <x:v>off</x:v>
      </x:c>
      <x:c r="M74" s="26" t="n">
        <x:v>6</x:v>
      </x:c>
      <x:c r="N74" s="26" t="n">
        <x:v>0.125</x:v>
      </x:c>
      <x:c r="O74" t="n">
        <x:v>4</x:v>
      </x:c>
      <x:c r="P74" t="n">
        <x:v>10</x:v>
      </x:c>
      <x:c r="Q74"/>
      <x:c r="R74"/>
      <x:c r="S74"/>
      <x:c r="T74" s="26"/>
      <x:c r="U74" s="26" t="str">
        <x:f>IF(T74="","",T74*4.184)</x:f>
      </x:c>
      <x:c r="V74" s="26"/>
      <x:c r="W74" t="str"/>
      <x:c r="X74" t="str"/>
      <x:c r="Y74" t="str"/>
      <x:c r="Z74" s="26" t="n">
        <x:v>-492.2</x:v>
      </x:c>
      <x:c r="AA74" s="26" t="n">
        <x:v>-505.09</x:v>
      </x:c>
      <x:c r="AB74" s="26" t="n">
        <x:v>-502.60600000000005</x:v>
      </x:c>
      <x:c r="AC74" s="26" t="n">
        <x:v>-506.1</x:v>
      </x:c>
      <x:c r="AD74" s="26" t="n">
        <x:v>-487.81117</x:v>
      </x:c>
      <x:c r="AE74" s="26" t="str">
        <x:v>mol_04136</x:v>
      </x:c>
      <x:c r="AF74" s="26" t="str">
        <x:v>Pending</x:v>
      </x:c>
      <x:c r="AG74" s="26"/>
      <x:c r="AH74" s="26"/>
    </x:row>
    <x:row r="75">
      <x:c r="A75" t="str">
        <x:v>cbt_024</x:v>
      </x:c>
      <x:c r="B75" t="str">
        <x:v>Methyl hexanoate</x:v>
      </x:c>
      <x:c r="C75" t="str">
        <x:v>CCCCCC(=O)OC</x:v>
      </x:c>
      <x:c r="D75" t="str">
        <x:v>PM3</x:v>
      </x:c>
      <x:c r="E75" s="28" t="b">
        <x:v>1</x:v>
      </x:c>
      <x:c r="F75" t="n">
        <x:v>0</x:v>
      </x:c>
      <x:c r="G75" t="n">
        <x:v>1</x:v>
      </x:c>
      <x:c r="H75" t="str">
        <x:v>Pending</x:v>
      </x:c>
      <x:c r="I75" t="str">
        <x:v>NOT_ATTEMPTED</x:v>
      </x:c>
      <x:c r="J75" t="str">
        <x:v>NOT_ATTEMPTED</x:v>
      </x:c>
      <x:c r="K75" t="str">
        <x:v>gfn2</x:v>
      </x:c>
      <x:c r="L75" t="str">
        <x:v>off</x:v>
      </x:c>
      <x:c r="M75" s="26" t="n">
        <x:v>6</x:v>
      </x:c>
      <x:c r="N75" s="26" t="n">
        <x:v>0.125</x:v>
      </x:c>
      <x:c r="O75" t="n">
        <x:v>4</x:v>
      </x:c>
      <x:c r="P75" t="n">
        <x:v>10</x:v>
      </x:c>
      <x:c r="Q75"/>
      <x:c r="R75"/>
      <x:c r="S75"/>
      <x:c r="T75" s="26"/>
      <x:c r="U75" s="26" t="str">
        <x:f>IF(T75="","",T75*4.184)</x:f>
      </x:c>
      <x:c r="V75" s="26"/>
      <x:c r="W75" t="str"/>
      <x:c r="X75" t="str"/>
      <x:c r="Y75" t="str"/>
      <x:c r="Z75" s="26" t="n">
        <x:v>-492.2</x:v>
      </x:c>
      <x:c r="AA75" s="26" t="n">
        <x:v>-505.09</x:v>
      </x:c>
      <x:c r="AB75" s="26" t="n">
        <x:v>-502.60600000000005</x:v>
      </x:c>
      <x:c r="AC75" s="26" t="n">
        <x:v>-506.1</x:v>
      </x:c>
      <x:c r="AD75" s="26" t="n">
        <x:v>-487.81117</x:v>
      </x:c>
      <x:c r="AE75" s="26" t="str">
        <x:v>mol_04136</x:v>
      </x:c>
      <x:c r="AF75" s="26" t="str">
        <x:v>Pending</x:v>
      </x:c>
      <x:c r="AG75" s="26"/>
      <x:c r="AH75" s="26"/>
    </x:row>
    <x:row r="76">
      <x:c r="A76" t="str">
        <x:v>cbt_024</x:v>
      </x:c>
      <x:c r="B76" t="str">
        <x:v>Methyl hexanoate</x:v>
      </x:c>
      <x:c r="C76" t="str">
        <x:v>CCCCCC(=O)OC</x:v>
      </x:c>
      <x:c r="D76" t="str">
        <x:v>PM7</x:v>
      </x:c>
      <x:c r="E76" s="28" t="b">
        <x:v>1</x:v>
      </x:c>
      <x:c r="F76" t="n">
        <x:v>0</x:v>
      </x:c>
      <x:c r="G76" t="n">
        <x:v>1</x:v>
      </x:c>
      <x:c r="H76" t="str">
        <x:v>Pending</x:v>
      </x:c>
      <x:c r="I76" t="str">
        <x:v>NOT_ATTEMPTED</x:v>
      </x:c>
      <x:c r="J76" t="str">
        <x:v>NOT_ATTEMPTED</x:v>
      </x:c>
      <x:c r="K76" t="str">
        <x:v>gfn2</x:v>
      </x:c>
      <x:c r="L76" t="str">
        <x:v>off</x:v>
      </x:c>
      <x:c r="M76" s="26" t="n">
        <x:v>6</x:v>
      </x:c>
      <x:c r="N76" s="26" t="n">
        <x:v>0.125</x:v>
      </x:c>
      <x:c r="O76" t="n">
        <x:v>4</x:v>
      </x:c>
      <x:c r="P76" t="n">
        <x:v>10</x:v>
      </x:c>
      <x:c r="Q76"/>
      <x:c r="R76"/>
      <x:c r="S76"/>
      <x:c r="T76" s="26"/>
      <x:c r="U76" s="26" t="str">
        <x:f>IF(T76="","",T76*4.184)</x:f>
      </x:c>
      <x:c r="V76" s="26"/>
      <x:c r="W76" t="str"/>
      <x:c r="X76" t="str"/>
      <x:c r="Y76" t="str"/>
      <x:c r="Z76" s="26" t="n">
        <x:v>-492.2</x:v>
      </x:c>
      <x:c r="AA76" s="26" t="n">
        <x:v>-505.09</x:v>
      </x:c>
      <x:c r="AB76" s="26" t="n">
        <x:v>-502.60600000000005</x:v>
      </x:c>
      <x:c r="AC76" s="26" t="n">
        <x:v>-506.1</x:v>
      </x:c>
      <x:c r="AD76" s="26" t="n">
        <x:v>-487.81117</x:v>
      </x:c>
      <x:c r="AE76" s="26" t="str">
        <x:v>mol_04136</x:v>
      </x:c>
      <x:c r="AF76" s="26" t="str">
        <x:v>Pending</x:v>
      </x:c>
      <x:c r="AG76" s="26"/>
      <x:c r="AH76" s="26"/>
    </x:row>
    <x:row r="77">
      <x:c r="A77" t="str">
        <x:v>cbt_025</x:v>
      </x:c>
      <x:c r="B77" t="str">
        <x:v>Methyl heptanoate</x:v>
      </x:c>
      <x:c r="C77" t="str">
        <x:v>CCCCCCC(=O)OC</x:v>
      </x:c>
      <x:c r="D77" t="str">
        <x:v>AM1</x:v>
      </x:c>
      <x:c r="E77" s="28" t="b">
        <x:v>1</x:v>
      </x:c>
      <x:c r="F77" t="n">
        <x:v>0</x:v>
      </x:c>
      <x:c r="G77" t="n">
        <x:v>1</x:v>
      </x:c>
      <x:c r="H77" t="str">
        <x:v>Pending</x:v>
      </x:c>
      <x:c r="I77" t="str">
        <x:v>NOT_ATTEMPTED</x:v>
      </x:c>
      <x:c r="J77" t="str">
        <x:v>NOT_ATTEMPTED</x:v>
      </x:c>
      <x:c r="K77" t="str">
        <x:v>gfn2</x:v>
      </x:c>
      <x:c r="L77" t="str">
        <x:v>off</x:v>
      </x:c>
      <x:c r="M77" s="26" t="n">
        <x:v>6</x:v>
      </x:c>
      <x:c r="N77" s="26" t="n">
        <x:v>0.125</x:v>
      </x:c>
      <x:c r="O77" t="n">
        <x:v>4</x:v>
      </x:c>
      <x:c r="P77" t="n">
        <x:v>10</x:v>
      </x:c>
      <x:c r="Q77"/>
      <x:c r="R77"/>
      <x:c r="S77"/>
      <x:c r="T77" s="26"/>
      <x:c r="U77" s="26" t="str">
        <x:f>IF(T77="","",T77*4.184)</x:f>
      </x:c>
      <x:c r="V77" s="26"/>
      <x:c r="W77" t="str"/>
      <x:c r="X77" t="str"/>
      <x:c r="Y77" t="str"/>
      <x:c r="Z77" s="26" t="n">
        <x:v>-515.5</x:v>
      </x:c>
      <x:c r="AA77" s="26" t="n">
        <x:v>-525.73</x:v>
      </x:c>
      <x:c r="AB77" s="26" t="n">
        <x:v>-523.3689999999999</x:v>
      </x:c>
      <x:c r="AC77" s="26" t="n">
        <x:v>-526.9290000000001</x:v>
      </x:c>
      <x:c r="AD77" s="26" t="n">
        <x:v>-509.13106</x:v>
      </x:c>
      <x:c r="AE77" s="26" t="str">
        <x:v>mol_04742</x:v>
      </x:c>
      <x:c r="AF77" s="26" t="str">
        <x:v>Pending</x:v>
      </x:c>
      <x:c r="AG77" s="26"/>
      <x:c r="AH77" s="26"/>
    </x:row>
    <x:row r="78">
      <x:c r="A78" t="str">
        <x:v>cbt_025</x:v>
      </x:c>
      <x:c r="B78" t="str">
        <x:v>Methyl heptanoate</x:v>
      </x:c>
      <x:c r="C78" t="str">
        <x:v>CCCCCCC(=O)OC</x:v>
      </x:c>
      <x:c r="D78" t="str">
        <x:v>PM3</x:v>
      </x:c>
      <x:c r="E78" s="28" t="b">
        <x:v>1</x:v>
      </x:c>
      <x:c r="F78" t="n">
        <x:v>0</x:v>
      </x:c>
      <x:c r="G78" t="n">
        <x:v>1</x:v>
      </x:c>
      <x:c r="H78" t="str">
        <x:v>Pending</x:v>
      </x:c>
      <x:c r="I78" t="str">
        <x:v>NOT_ATTEMPTED</x:v>
      </x:c>
      <x:c r="J78" t="str">
        <x:v>NOT_ATTEMPTED</x:v>
      </x:c>
      <x:c r="K78" t="str">
        <x:v>gfn2</x:v>
      </x:c>
      <x:c r="L78" t="str">
        <x:v>off</x:v>
      </x:c>
      <x:c r="M78" s="26" t="n">
        <x:v>6</x:v>
      </x:c>
      <x:c r="N78" s="26" t="n">
        <x:v>0.125</x:v>
      </x:c>
      <x:c r="O78" t="n">
        <x:v>4</x:v>
      </x:c>
      <x:c r="P78" t="n">
        <x:v>10</x:v>
      </x:c>
      <x:c r="Q78"/>
      <x:c r="R78"/>
      <x:c r="S78"/>
      <x:c r="T78" s="26"/>
      <x:c r="U78" s="26" t="str">
        <x:f>IF(T78="","",T78*4.184)</x:f>
      </x:c>
      <x:c r="V78" s="26"/>
      <x:c r="W78" t="str"/>
      <x:c r="X78" t="str"/>
      <x:c r="Y78" t="str"/>
      <x:c r="Z78" s="26" t="n">
        <x:v>-515.5</x:v>
      </x:c>
      <x:c r="AA78" s="26" t="n">
        <x:v>-525.73</x:v>
      </x:c>
      <x:c r="AB78" s="26" t="n">
        <x:v>-523.3689999999999</x:v>
      </x:c>
      <x:c r="AC78" s="26" t="n">
        <x:v>-526.9290000000001</x:v>
      </x:c>
      <x:c r="AD78" s="26" t="n">
        <x:v>-509.13106</x:v>
      </x:c>
      <x:c r="AE78" s="26" t="str">
        <x:v>mol_04742</x:v>
      </x:c>
      <x:c r="AF78" s="26" t="str">
        <x:v>Pending</x:v>
      </x:c>
      <x:c r="AG78" s="26"/>
      <x:c r="AH78" s="26"/>
    </x:row>
    <x:row r="79">
      <x:c r="A79" t="str">
        <x:v>cbt_025</x:v>
      </x:c>
      <x:c r="B79" t="str">
        <x:v>Methyl heptanoate</x:v>
      </x:c>
      <x:c r="C79" t="str">
        <x:v>CCCCCCC(=O)OC</x:v>
      </x:c>
      <x:c r="D79" t="str">
        <x:v>PM7</x:v>
      </x:c>
      <x:c r="E79" s="28" t="b">
        <x:v>1</x:v>
      </x:c>
      <x:c r="F79" t="n">
        <x:v>0</x:v>
      </x:c>
      <x:c r="G79" t="n">
        <x:v>1</x:v>
      </x:c>
      <x:c r="H79" t="str">
        <x:v>Pending</x:v>
      </x:c>
      <x:c r="I79" t="str">
        <x:v>NOT_ATTEMPTED</x:v>
      </x:c>
      <x:c r="J79" t="str">
        <x:v>NOT_ATTEMPTED</x:v>
      </x:c>
      <x:c r="K79" t="str">
        <x:v>gfn2</x:v>
      </x:c>
      <x:c r="L79" t="str">
        <x:v>off</x:v>
      </x:c>
      <x:c r="M79" s="26" t="n">
        <x:v>6</x:v>
      </x:c>
      <x:c r="N79" s="26" t="n">
        <x:v>0.125</x:v>
      </x:c>
      <x:c r="O79" t="n">
        <x:v>4</x:v>
      </x:c>
      <x:c r="P79" t="n">
        <x:v>10</x:v>
      </x:c>
      <x:c r="Q79"/>
      <x:c r="R79"/>
      <x:c r="S79"/>
      <x:c r="T79" s="26"/>
      <x:c r="U79" s="26" t="str">
        <x:f>IF(T79="","",T79*4.184)</x:f>
      </x:c>
      <x:c r="V79" s="26"/>
      <x:c r="W79" t="str"/>
      <x:c r="X79" t="str"/>
      <x:c r="Y79" t="str"/>
      <x:c r="Z79" s="26" t="n">
        <x:v>-515.5</x:v>
      </x:c>
      <x:c r="AA79" s="26" t="n">
        <x:v>-525.73</x:v>
      </x:c>
      <x:c r="AB79" s="26" t="n">
        <x:v>-523.3689999999999</x:v>
      </x:c>
      <x:c r="AC79" s="26" t="n">
        <x:v>-526.9290000000001</x:v>
      </x:c>
      <x:c r="AD79" s="26" t="n">
        <x:v>-509.13106</x:v>
      </x:c>
      <x:c r="AE79" s="26" t="str">
        <x:v>mol_04742</x:v>
      </x:c>
      <x:c r="AF79" s="26" t="str">
        <x:v>Pending</x:v>
      </x:c>
      <x:c r="AG79" s="26"/>
      <x:c r="AH79" s="26"/>
    </x:row>
    <x:row r="80">
      <x:c r="A80" t="str">
        <x:v>cbt_026</x:v>
      </x:c>
      <x:c r="B80" t="str">
        <x:v>Methyl octanoate</x:v>
      </x:c>
      <x:c r="C80" t="str">
        <x:v>CCCCCCCC(=O)OC</x:v>
      </x:c>
      <x:c r="D80" t="str">
        <x:v>AM1</x:v>
      </x:c>
      <x:c r="E80" s="28" t="b">
        <x:v>1</x:v>
      </x:c>
      <x:c r="F80" t="n">
        <x:v>0</x:v>
      </x:c>
      <x:c r="G80" t="n">
        <x:v>1</x:v>
      </x:c>
      <x:c r="H80" t="str">
        <x:v>Pending</x:v>
      </x:c>
      <x:c r="I80" t="str">
        <x:v>NOT_ATTEMPTED</x:v>
      </x:c>
      <x:c r="J80" t="str">
        <x:v>NOT_ATTEMPTED</x:v>
      </x:c>
      <x:c r="K80" t="str">
        <x:v>gfn2</x:v>
      </x:c>
      <x:c r="L80" t="str">
        <x:v>off</x:v>
      </x:c>
      <x:c r="M80" s="26" t="n">
        <x:v>6</x:v>
      </x:c>
      <x:c r="N80" s="26" t="n">
        <x:v>0.125</x:v>
      </x:c>
      <x:c r="O80" t="n">
        <x:v>4</x:v>
      </x:c>
      <x:c r="P80" t="n">
        <x:v>10</x:v>
      </x:c>
      <x:c r="Q80"/>
      <x:c r="R80"/>
      <x:c r="S80"/>
      <x:c r="T80" s="26"/>
      <x:c r="U80" s="26" t="str">
        <x:f>IF(T80="","",T80*4.184)</x:f>
      </x:c>
      <x:c r="V80" s="26"/>
      <x:c r="W80" t="str"/>
      <x:c r="X80" t="str"/>
      <x:c r="Y80" t="str"/>
      <x:c r="Z80" s="26" t="n">
        <x:v>-533.9</x:v>
      </x:c>
      <x:c r="AA80" s="26" t="n">
        <x:v>-546.3700000000001</x:v>
      </x:c>
      <x:c r="AB80" s="26" t="n">
        <x:v>-544.132</x:v>
      </x:c>
      <x:c r="AC80" s="26" t="n">
        <x:v>-547.758</x:v>
      </x:c>
      <x:c r="AD80" s="26" t="n">
        <x:v>-530.5573</x:v>
      </x:c>
      <x:c r="AE80" s="26" t="str"/>
      <x:c r="AF80" s="26" t="str"/>
      <x:c r="AG80" s="26"/>
      <x:c r="AH80" s="26"/>
    </x:row>
    <x:row r="81">
      <x:c r="A81" t="str">
        <x:v>cbt_026</x:v>
      </x:c>
      <x:c r="B81" t="str">
        <x:v>Methyl octanoate</x:v>
      </x:c>
      <x:c r="C81" t="str">
        <x:v>CCCCCCCC(=O)OC</x:v>
      </x:c>
      <x:c r="D81" t="str">
        <x:v>PM3</x:v>
      </x:c>
      <x:c r="E81" s="28" t="b">
        <x:v>1</x:v>
      </x:c>
      <x:c r="F81" t="n">
        <x:v>0</x:v>
      </x:c>
      <x:c r="G81" t="n">
        <x:v>1</x:v>
      </x:c>
      <x:c r="H81" t="str">
        <x:v>Pending</x:v>
      </x:c>
      <x:c r="I81" t="str">
        <x:v>NOT_ATTEMPTED</x:v>
      </x:c>
      <x:c r="J81" t="str">
        <x:v>NOT_ATTEMPTED</x:v>
      </x:c>
      <x:c r="K81" t="str">
        <x:v>gfn2</x:v>
      </x:c>
      <x:c r="L81" t="str">
        <x:v>off</x:v>
      </x:c>
      <x:c r="M81" s="26" t="n">
        <x:v>6</x:v>
      </x:c>
      <x:c r="N81" s="26" t="n">
        <x:v>0.125</x:v>
      </x:c>
      <x:c r="O81" t="n">
        <x:v>4</x:v>
      </x:c>
      <x:c r="P81" t="n">
        <x:v>10</x:v>
      </x:c>
      <x:c r="Q81"/>
      <x:c r="R81"/>
      <x:c r="S81"/>
      <x:c r="T81" s="26"/>
      <x:c r="U81" s="26" t="str">
        <x:f>IF(T81="","",T81*4.184)</x:f>
      </x:c>
      <x:c r="V81" s="26"/>
      <x:c r="W81" t="str"/>
      <x:c r="X81" t="str"/>
      <x:c r="Y81" t="str"/>
      <x:c r="Z81" s="26" t="n">
        <x:v>-533.9</x:v>
      </x:c>
      <x:c r="AA81" s="26" t="n">
        <x:v>-546.3700000000001</x:v>
      </x:c>
      <x:c r="AB81" s="26" t="n">
        <x:v>-544.132</x:v>
      </x:c>
      <x:c r="AC81" s="26" t="n">
        <x:v>-547.758</x:v>
      </x:c>
      <x:c r="AD81" s="26" t="n">
        <x:v>-530.5573</x:v>
      </x:c>
      <x:c r="AE81" s="26" t="str"/>
      <x:c r="AF81" s="26" t="str"/>
      <x:c r="AG81" s="26"/>
      <x:c r="AH81" s="26"/>
    </x:row>
    <x:row r="82">
      <x:c r="A82" t="str">
        <x:v>cbt_026</x:v>
      </x:c>
      <x:c r="B82" t="str">
        <x:v>Methyl octanoate</x:v>
      </x:c>
      <x:c r="C82" t="str">
        <x:v>CCCCCCCC(=O)OC</x:v>
      </x:c>
      <x:c r="D82" t="str">
        <x:v>PM7</x:v>
      </x:c>
      <x:c r="E82" s="28" t="b">
        <x:v>1</x:v>
      </x:c>
      <x:c r="F82" t="n">
        <x:v>0</x:v>
      </x:c>
      <x:c r="G82" t="n">
        <x:v>1</x:v>
      </x:c>
      <x:c r="H82" t="str">
        <x:v>Pending</x:v>
      </x:c>
      <x:c r="I82" t="str">
        <x:v>NOT_ATTEMPTED</x:v>
      </x:c>
      <x:c r="J82" t="str">
        <x:v>NOT_ATTEMPTED</x:v>
      </x:c>
      <x:c r="K82" t="str">
        <x:v>gfn2</x:v>
      </x:c>
      <x:c r="L82" t="str">
        <x:v>off</x:v>
      </x:c>
      <x:c r="M82" s="26" t="n">
        <x:v>6</x:v>
      </x:c>
      <x:c r="N82" s="26" t="n">
        <x:v>0.125</x:v>
      </x:c>
      <x:c r="O82" t="n">
        <x:v>4</x:v>
      </x:c>
      <x:c r="P82" t="n">
        <x:v>10</x:v>
      </x:c>
      <x:c r="Q82"/>
      <x:c r="R82"/>
      <x:c r="S82"/>
      <x:c r="T82" s="26"/>
      <x:c r="U82" s="26" t="str">
        <x:f>IF(T82="","",T82*4.184)</x:f>
      </x:c>
      <x:c r="V82" s="26"/>
      <x:c r="W82" t="str"/>
      <x:c r="X82" t="str"/>
      <x:c r="Y82" t="str"/>
      <x:c r="Z82" s="26" t="n">
        <x:v>-533.9</x:v>
      </x:c>
      <x:c r="AA82" s="26" t="n">
        <x:v>-546.3700000000001</x:v>
      </x:c>
      <x:c r="AB82" s="26" t="n">
        <x:v>-544.132</x:v>
      </x:c>
      <x:c r="AC82" s="26" t="n">
        <x:v>-547.758</x:v>
      </x:c>
      <x:c r="AD82" s="26" t="n">
        <x:v>-530.5573</x:v>
      </x:c>
      <x:c r="AE82" s="26" t="str"/>
      <x:c r="AF82" s="26" t="str"/>
      <x:c r="AG82" s="26"/>
      <x:c r="AH82" s="26"/>
    </x:row>
    <x:row r="83">
      <x:c r="A83" t="str">
        <x:v>cbt_027</x:v>
      </x:c>
      <x:c r="B83" t="str">
        <x:v>Methyl Dodecanoate</x:v>
      </x:c>
      <x:c r="C83" t="str">
        <x:v>CCCCCCCCCCCC(=O)OC</x:v>
      </x:c>
      <x:c r="D83" t="str">
        <x:v>AM1</x:v>
      </x:c>
      <x:c r="E83" s="28" t="b">
        <x:v>1</x:v>
      </x:c>
      <x:c r="F83" t="n">
        <x:v>0</x:v>
      </x:c>
      <x:c r="G83" t="n">
        <x:v>1</x:v>
      </x:c>
      <x:c r="H83" t="str">
        <x:v>Pending</x:v>
      </x:c>
      <x:c r="I83" t="str">
        <x:v>NOT_ATTEMPTED</x:v>
      </x:c>
      <x:c r="J83" t="str">
        <x:v>NOT_ATTEMPTED</x:v>
      </x:c>
      <x:c r="K83" t="str">
        <x:v>gfn2</x:v>
      </x:c>
      <x:c r="L83" t="str">
        <x:v>off</x:v>
      </x:c>
      <x:c r="M83" s="26" t="n">
        <x:v>6</x:v>
      </x:c>
      <x:c r="N83" s="26" t="n">
        <x:v>0.125</x:v>
      </x:c>
      <x:c r="O83" t="n">
        <x:v>4</x:v>
      </x:c>
      <x:c r="P83" t="n">
        <x:v>10</x:v>
      </x:c>
      <x:c r="Q83"/>
      <x:c r="R83"/>
      <x:c r="S83"/>
      <x:c r="T83" s="26"/>
      <x:c r="U83" s="26" t="str">
        <x:f>IF(T83="","",T83*4.184)</x:f>
      </x:c>
      <x:c r="V83" s="26"/>
      <x:c r="W83" t="str"/>
      <x:c r="X83" t="str"/>
      <x:c r="Y83" t="str"/>
      <x:c r="Z83" s="26" t="n">
        <x:v>-617.9</x:v>
      </x:c>
      <x:c r="AA83" s="26" t="n">
        <x:v>-628.9300000000001</x:v>
      </x:c>
      <x:c r="AB83" s="26" t="n">
        <x:v>-627.184</x:v>
      </x:c>
      <x:c r="AC83" s="26" t="n">
        <x:v>-631.0740000000001</x:v>
      </x:c>
      <x:c r="AD83" s="26" t="n">
        <x:v>-615.92062</x:v>
      </x:c>
      <x:c r="AE83" s="26" t="str">
        <x:v>mol_19010</x:v>
      </x:c>
      <x:c r="AF83" s="26" t="str">
        <x:v>Pending</x:v>
      </x:c>
      <x:c r="AG83" s="26"/>
      <x:c r="AH83" s="26"/>
    </x:row>
    <x:row r="84">
      <x:c r="A84" t="str">
        <x:v>cbt_027</x:v>
      </x:c>
      <x:c r="B84" t="str">
        <x:v>Methyl Dodecanoate</x:v>
      </x:c>
      <x:c r="C84" t="str">
        <x:v>CCCCCCCCCCCC(=O)OC</x:v>
      </x:c>
      <x:c r="D84" t="str">
        <x:v>PM3</x:v>
      </x:c>
      <x:c r="E84" s="28" t="b">
        <x:v>1</x:v>
      </x:c>
      <x:c r="F84" t="n">
        <x:v>0</x:v>
      </x:c>
      <x:c r="G84" t="n">
        <x:v>1</x:v>
      </x:c>
      <x:c r="H84" t="str">
        <x:v>Pending</x:v>
      </x:c>
      <x:c r="I84" t="str">
        <x:v>NOT_ATTEMPTED</x:v>
      </x:c>
      <x:c r="J84" t="str">
        <x:v>NOT_ATTEMPTED</x:v>
      </x:c>
      <x:c r="K84" t="str">
        <x:v>gfn2</x:v>
      </x:c>
      <x:c r="L84" t="str">
        <x:v>off</x:v>
      </x:c>
      <x:c r="M84" s="26" t="n">
        <x:v>6</x:v>
      </x:c>
      <x:c r="N84" s="26" t="n">
        <x:v>0.125</x:v>
      </x:c>
      <x:c r="O84" t="n">
        <x:v>4</x:v>
      </x:c>
      <x:c r="P84" t="n">
        <x:v>10</x:v>
      </x:c>
      <x:c r="Q84"/>
      <x:c r="R84"/>
      <x:c r="S84"/>
      <x:c r="T84" s="26"/>
      <x:c r="U84" s="26" t="str">
        <x:f>IF(T84="","",T84*4.184)</x:f>
      </x:c>
      <x:c r="V84" s="26"/>
      <x:c r="W84" t="str"/>
      <x:c r="X84" t="str"/>
      <x:c r="Y84" t="str"/>
      <x:c r="Z84" s="26" t="n">
        <x:v>-617.9</x:v>
      </x:c>
      <x:c r="AA84" s="26" t="n">
        <x:v>-628.9300000000001</x:v>
      </x:c>
      <x:c r="AB84" s="26" t="n">
        <x:v>-627.184</x:v>
      </x:c>
      <x:c r="AC84" s="26" t="n">
        <x:v>-631.0740000000001</x:v>
      </x:c>
      <x:c r="AD84" s="26" t="n">
        <x:v>-615.92062</x:v>
      </x:c>
      <x:c r="AE84" s="26" t="str">
        <x:v>mol_19010</x:v>
      </x:c>
      <x:c r="AF84" s="26" t="str">
        <x:v>Pending</x:v>
      </x:c>
      <x:c r="AG84" s="26"/>
      <x:c r="AH84" s="26"/>
    </x:row>
    <x:row r="85">
      <x:c r="A85" t="str">
        <x:v>cbt_027</x:v>
      </x:c>
      <x:c r="B85" t="str">
        <x:v>Methyl Dodecanoate</x:v>
      </x:c>
      <x:c r="C85" t="str">
        <x:v>CCCCCCCCCCCC(=O)OC</x:v>
      </x:c>
      <x:c r="D85" t="str">
        <x:v>PM7</x:v>
      </x:c>
      <x:c r="E85" s="28" t="b">
        <x:v>1</x:v>
      </x:c>
      <x:c r="F85" t="n">
        <x:v>0</x:v>
      </x:c>
      <x:c r="G85" t="n">
        <x:v>1</x:v>
      </x:c>
      <x:c r="H85" t="str">
        <x:v>Pending</x:v>
      </x:c>
      <x:c r="I85" t="str">
        <x:v>NOT_ATTEMPTED</x:v>
      </x:c>
      <x:c r="J85" t="str">
        <x:v>NOT_ATTEMPTED</x:v>
      </x:c>
      <x:c r="K85" t="str">
        <x:v>gfn2</x:v>
      </x:c>
      <x:c r="L85" t="str">
        <x:v>off</x:v>
      </x:c>
      <x:c r="M85" s="26" t="n">
        <x:v>6</x:v>
      </x:c>
      <x:c r="N85" s="26" t="n">
        <x:v>0.125</x:v>
      </x:c>
      <x:c r="O85" t="n">
        <x:v>4</x:v>
      </x:c>
      <x:c r="P85" t="n">
        <x:v>10</x:v>
      </x:c>
      <x:c r="Q85"/>
      <x:c r="R85"/>
      <x:c r="S85"/>
      <x:c r="T85" s="26"/>
      <x:c r="U85" s="26" t="str">
        <x:f>IF(T85="","",T85*4.184)</x:f>
      </x:c>
      <x:c r="V85" s="26"/>
      <x:c r="W85" t="str"/>
      <x:c r="X85" t="str"/>
      <x:c r="Y85" t="str"/>
      <x:c r="Z85" s="26" t="n">
        <x:v>-617.9</x:v>
      </x:c>
      <x:c r="AA85" s="26" t="n">
        <x:v>-628.9300000000001</x:v>
      </x:c>
      <x:c r="AB85" s="26" t="n">
        <x:v>-627.184</x:v>
      </x:c>
      <x:c r="AC85" s="26" t="n">
        <x:v>-631.0740000000001</x:v>
      </x:c>
      <x:c r="AD85" s="26" t="n">
        <x:v>-615.92062</x:v>
      </x:c>
      <x:c r="AE85" s="26" t="str">
        <x:v>mol_19010</x:v>
      </x:c>
      <x:c r="AF85" s="26" t="str">
        <x:v>Pending</x:v>
      </x:c>
      <x:c r="AG85" s="26"/>
      <x:c r="AH85" s="26"/>
    </x:row>
    <x:row r="86">
      <x:c r="A86" t="str">
        <x:v>cbt_028</x:v>
      </x:c>
      <x:c r="B86" t="str">
        <x:v>Methyl Tetradecanoate</x:v>
      </x:c>
      <x:c r="C86" t="str">
        <x:v>CCCCCCCCCCCCCC(=O)OC</x:v>
      </x:c>
      <x:c r="D86" t="str">
        <x:v>AM1</x:v>
      </x:c>
      <x:c r="E86" s="28" t="b">
        <x:v>1</x:v>
      </x:c>
      <x:c r="F86" t="n">
        <x:v>0</x:v>
      </x:c>
      <x:c r="G86" t="n">
        <x:v>1</x:v>
      </x:c>
      <x:c r="H86" t="str">
        <x:v>Pending</x:v>
      </x:c>
      <x:c r="I86" t="str">
        <x:v>NOT_ATTEMPTED</x:v>
      </x:c>
      <x:c r="J86" t="str">
        <x:v>NOT_ATTEMPTED</x:v>
      </x:c>
      <x:c r="K86" t="str">
        <x:v>gfn2</x:v>
      </x:c>
      <x:c r="L86" t="str">
        <x:v>off</x:v>
      </x:c>
      <x:c r="M86" s="26" t="n">
        <x:v>6</x:v>
      </x:c>
      <x:c r="N86" s="26" t="n">
        <x:v>0.125</x:v>
      </x:c>
      <x:c r="O86" t="n">
        <x:v>4</x:v>
      </x:c>
      <x:c r="P86" t="n">
        <x:v>10</x:v>
      </x:c>
      <x:c r="Q86"/>
      <x:c r="R86"/>
      <x:c r="S86"/>
      <x:c r="T86" s="26"/>
      <x:c r="U86" s="26" t="str">
        <x:f>IF(T86="","",T86*4.184)</x:f>
      </x:c>
      <x:c r="V86" s="26"/>
      <x:c r="W86" t="str"/>
      <x:c r="X86" t="str"/>
      <x:c r="Y86" t="str"/>
      <x:c r="Z86" s="26" t="n">
        <x:v>-656.9</x:v>
      </x:c>
      <x:c r="AA86" s="26" t="n">
        <x:v>-670.21</x:v>
      </x:c>
      <x:c r="AB86" s="26" t="n">
        <x:v>-668.71</x:v>
      </x:c>
      <x:c r="AC86" s="26" t="n">
        <x:v>-672.732</x:v>
      </x:c>
      <x:c r="AD86" s="26" t="n">
        <x:v>-656.87245</x:v>
      </x:c>
      <x:c r="AE86" s="26" t="str"/>
      <x:c r="AF86" s="26" t="str"/>
      <x:c r="AG86" s="26"/>
      <x:c r="AH86" s="26"/>
    </x:row>
    <x:row r="87">
      <x:c r="A87" t="str">
        <x:v>cbt_028</x:v>
      </x:c>
      <x:c r="B87" t="str">
        <x:v>Methyl Tetradecanoate</x:v>
      </x:c>
      <x:c r="C87" t="str">
        <x:v>CCCCCCCCCCCCCC(=O)OC</x:v>
      </x:c>
      <x:c r="D87" t="str">
        <x:v>PM3</x:v>
      </x:c>
      <x:c r="E87" s="28" t="b">
        <x:v>1</x:v>
      </x:c>
      <x:c r="F87" t="n">
        <x:v>0</x:v>
      </x:c>
      <x:c r="G87" t="n">
        <x:v>1</x:v>
      </x:c>
      <x:c r="H87" t="str">
        <x:v>Pending</x:v>
      </x:c>
      <x:c r="I87" t="str">
        <x:v>NOT_ATTEMPTED</x:v>
      </x:c>
      <x:c r="J87" t="str">
        <x:v>NOT_ATTEMPTED</x:v>
      </x:c>
      <x:c r="K87" t="str">
        <x:v>gfn2</x:v>
      </x:c>
      <x:c r="L87" t="str">
        <x:v>off</x:v>
      </x:c>
      <x:c r="M87" s="26" t="n">
        <x:v>6</x:v>
      </x:c>
      <x:c r="N87" s="26" t="n">
        <x:v>0.125</x:v>
      </x:c>
      <x:c r="O87" t="n">
        <x:v>4</x:v>
      </x:c>
      <x:c r="P87" t="n">
        <x:v>10</x:v>
      </x:c>
      <x:c r="Q87"/>
      <x:c r="R87"/>
      <x:c r="S87"/>
      <x:c r="T87" s="26"/>
      <x:c r="U87" s="26" t="str">
        <x:f>IF(T87="","",T87*4.184)</x:f>
      </x:c>
      <x:c r="V87" s="26"/>
      <x:c r="W87" t="str"/>
      <x:c r="X87" t="str"/>
      <x:c r="Y87" t="str"/>
      <x:c r="Z87" s="26" t="n">
        <x:v>-656.9</x:v>
      </x:c>
      <x:c r="AA87" s="26" t="n">
        <x:v>-670.21</x:v>
      </x:c>
      <x:c r="AB87" s="26" t="n">
        <x:v>-668.71</x:v>
      </x:c>
      <x:c r="AC87" s="26" t="n">
        <x:v>-672.732</x:v>
      </x:c>
      <x:c r="AD87" s="26" t="n">
        <x:v>-656.87245</x:v>
      </x:c>
      <x:c r="AE87" s="26" t="str"/>
      <x:c r="AF87" s="26" t="str"/>
      <x:c r="AG87" s="26"/>
      <x:c r="AH87" s="26"/>
    </x:row>
    <x:row r="88">
      <x:c r="A88" t="str">
        <x:v>cbt_028</x:v>
      </x:c>
      <x:c r="B88" t="str">
        <x:v>Methyl Tetradecanoate</x:v>
      </x:c>
      <x:c r="C88" t="str">
        <x:v>CCCCCCCCCCCCCC(=O)OC</x:v>
      </x:c>
      <x:c r="D88" t="str">
        <x:v>PM7</x:v>
      </x:c>
      <x:c r="E88" s="28" t="b">
        <x:v>1</x:v>
      </x:c>
      <x:c r="F88" t="n">
        <x:v>0</x:v>
      </x:c>
      <x:c r="G88" t="n">
        <x:v>1</x:v>
      </x:c>
      <x:c r="H88" t="str">
        <x:v>Pending</x:v>
      </x:c>
      <x:c r="I88" t="str">
        <x:v>NOT_ATTEMPTED</x:v>
      </x:c>
      <x:c r="J88" t="str">
        <x:v>NOT_ATTEMPTED</x:v>
      </x:c>
      <x:c r="K88" t="str">
        <x:v>gfn2</x:v>
      </x:c>
      <x:c r="L88" t="str">
        <x:v>off</x:v>
      </x:c>
      <x:c r="M88" s="26" t="n">
        <x:v>6</x:v>
      </x:c>
      <x:c r="N88" s="26" t="n">
        <x:v>0.125</x:v>
      </x:c>
      <x:c r="O88" t="n">
        <x:v>4</x:v>
      </x:c>
      <x:c r="P88" t="n">
        <x:v>10</x:v>
      </x:c>
      <x:c r="Q88"/>
      <x:c r="R88"/>
      <x:c r="S88"/>
      <x:c r="T88" s="26"/>
      <x:c r="U88" s="26" t="str">
        <x:f>IF(T88="","",T88*4.184)</x:f>
      </x:c>
      <x:c r="V88" s="26"/>
      <x:c r="W88" t="str"/>
      <x:c r="X88" t="str"/>
      <x:c r="Y88" t="str"/>
      <x:c r="Z88" s="26" t="n">
        <x:v>-656.9</x:v>
      </x:c>
      <x:c r="AA88" s="26" t="n">
        <x:v>-670.21</x:v>
      </x:c>
      <x:c r="AB88" s="26" t="n">
        <x:v>-668.71</x:v>
      </x:c>
      <x:c r="AC88" s="26" t="n">
        <x:v>-672.732</x:v>
      </x:c>
      <x:c r="AD88" s="26" t="n">
        <x:v>-656.87245</x:v>
      </x:c>
      <x:c r="AE88" s="26" t="str"/>
      <x:c r="AF88" s="26" t="str"/>
      <x:c r="AG88" s="26"/>
      <x:c r="AH88" s="26"/>
    </x:row>
    <x:row r="89">
      <x:c r="A89" t="str">
        <x:v>cbt_029</x:v>
      </x:c>
      <x:c r="B89" t="str">
        <x:v>Methyl Hexadecanoate</x:v>
      </x:c>
      <x:c r="C89" t="str">
        <x:v>CCCCCCCCCCCCCCCC(=O)OC</x:v>
      </x:c>
      <x:c r="D89" t="str">
        <x:v>AM1</x:v>
      </x:c>
      <x:c r="E89" s="28" t="b">
        <x:v>1</x:v>
      </x:c>
      <x:c r="F89" t="n">
        <x:v>0</x:v>
      </x:c>
      <x:c r="G89" t="n">
        <x:v>1</x:v>
      </x:c>
      <x:c r="H89" t="str">
        <x:v>Pending</x:v>
      </x:c>
      <x:c r="I89" t="str">
        <x:v>NOT_ATTEMPTED</x:v>
      </x:c>
      <x:c r="J89" t="str">
        <x:v>NOT_ATTEMPTED</x:v>
      </x:c>
      <x:c r="K89" t="str">
        <x:v>gfn2</x:v>
      </x:c>
      <x:c r="L89" t="str">
        <x:v>off</x:v>
      </x:c>
      <x:c r="M89" s="26" t="n">
        <x:v>6</x:v>
      </x:c>
      <x:c r="N89" s="26" t="n">
        <x:v>0.125</x:v>
      </x:c>
      <x:c r="O89" t="n">
        <x:v>4</x:v>
      </x:c>
      <x:c r="P89" t="n">
        <x:v>10</x:v>
      </x:c>
      <x:c r="Q89"/>
      <x:c r="R89"/>
      <x:c r="S89"/>
      <x:c r="T89" s="26"/>
      <x:c r="U89" s="26" t="str">
        <x:f>IF(T89="","",T89*4.184)</x:f>
      </x:c>
      <x:c r="V89" s="26"/>
      <x:c r="W89" t="str"/>
      <x:c r="X89" t="str"/>
      <x:c r="Y89" t="str"/>
      <x:c r="Z89" s="26" t="n">
        <x:v>-665.6</x:v>
      </x:c>
      <x:c r="AA89" s="26" t="n">
        <x:v>-711.49</x:v>
      </x:c>
      <x:c r="AB89" s="26" t="n">
        <x:v>-710.236</x:v>
      </x:c>
      <x:c r="AC89" s="26" t="n">
        <x:v>-714.3900000000001</x:v>
      </x:c>
      <x:c r="AD89" s="26" t="n">
        <x:v>-698.10851</x:v>
      </x:c>
      <x:c r="AE89" s="26" t="str"/>
      <x:c r="AF89" s="26" t="str"/>
      <x:c r="AG89" s="26"/>
      <x:c r="AH89" s="26"/>
    </x:row>
    <x:row r="90">
      <x:c r="A90" t="str">
        <x:v>cbt_029</x:v>
      </x:c>
      <x:c r="B90" t="str">
        <x:v>Methyl Hexadecanoate</x:v>
      </x:c>
      <x:c r="C90" t="str">
        <x:v>CCCCCCCCCCCCCCCC(=O)OC</x:v>
      </x:c>
      <x:c r="D90" t="str">
        <x:v>PM3</x:v>
      </x:c>
      <x:c r="E90" s="28" t="b">
        <x:v>1</x:v>
      </x:c>
      <x:c r="F90" t="n">
        <x:v>0</x:v>
      </x:c>
      <x:c r="G90" t="n">
        <x:v>1</x:v>
      </x:c>
      <x:c r="H90" t="str">
        <x:v>Pending</x:v>
      </x:c>
      <x:c r="I90" t="str">
        <x:v>NOT_ATTEMPTED</x:v>
      </x:c>
      <x:c r="J90" t="str">
        <x:v>NOT_ATTEMPTED</x:v>
      </x:c>
      <x:c r="K90" t="str">
        <x:v>gfn2</x:v>
      </x:c>
      <x:c r="L90" t="str">
        <x:v>off</x:v>
      </x:c>
      <x:c r="M90" s="26" t="n">
        <x:v>6</x:v>
      </x:c>
      <x:c r="N90" s="26" t="n">
        <x:v>0.125</x:v>
      </x:c>
      <x:c r="O90" t="n">
        <x:v>4</x:v>
      </x:c>
      <x:c r="P90" t="n">
        <x:v>10</x:v>
      </x:c>
      <x:c r="Q90"/>
      <x:c r="R90"/>
      <x:c r="S90"/>
      <x:c r="T90" s="26"/>
      <x:c r="U90" s="26" t="str">
        <x:f>IF(T90="","",T90*4.184)</x:f>
      </x:c>
      <x:c r="V90" s="26"/>
      <x:c r="W90" t="str"/>
      <x:c r="X90" t="str"/>
      <x:c r="Y90" t="str"/>
      <x:c r="Z90" s="26" t="n">
        <x:v>-665.6</x:v>
      </x:c>
      <x:c r="AA90" s="26" t="n">
        <x:v>-711.49</x:v>
      </x:c>
      <x:c r="AB90" s="26" t="n">
        <x:v>-710.236</x:v>
      </x:c>
      <x:c r="AC90" s="26" t="n">
        <x:v>-714.3900000000001</x:v>
      </x:c>
      <x:c r="AD90" s="26" t="n">
        <x:v>-698.10851</x:v>
      </x:c>
      <x:c r="AE90" s="26" t="str"/>
      <x:c r="AF90" s="26" t="str"/>
      <x:c r="AG90" s="26"/>
      <x:c r="AH90" s="26"/>
    </x:row>
    <x:row r="91">
      <x:c r="A91" t="str">
        <x:v>cbt_029</x:v>
      </x:c>
      <x:c r="B91" t="str">
        <x:v>Methyl Hexadecanoate</x:v>
      </x:c>
      <x:c r="C91" t="str">
        <x:v>CCCCCCCCCCCCCCCC(=O)OC</x:v>
      </x:c>
      <x:c r="D91" t="str">
        <x:v>PM7</x:v>
      </x:c>
      <x:c r="E91" s="28" t="b">
        <x:v>1</x:v>
      </x:c>
      <x:c r="F91" t="n">
        <x:v>0</x:v>
      </x:c>
      <x:c r="G91" t="n">
        <x:v>1</x:v>
      </x:c>
      <x:c r="H91" t="str">
        <x:v>Pending</x:v>
      </x:c>
      <x:c r="I91" t="str">
        <x:v>NOT_ATTEMPTED</x:v>
      </x:c>
      <x:c r="J91" t="str">
        <x:v>NOT_ATTEMPTED</x:v>
      </x:c>
      <x:c r="K91" t="str">
        <x:v>gfn2</x:v>
      </x:c>
      <x:c r="L91" t="str">
        <x:v>off</x:v>
      </x:c>
      <x:c r="M91" s="26" t="n">
        <x:v>6</x:v>
      </x:c>
      <x:c r="N91" s="26" t="n">
        <x:v>0.125</x:v>
      </x:c>
      <x:c r="O91" t="n">
        <x:v>4</x:v>
      </x:c>
      <x:c r="P91" t="n">
        <x:v>10</x:v>
      </x:c>
      <x:c r="Q91"/>
      <x:c r="R91"/>
      <x:c r="S91"/>
      <x:c r="T91" s="26"/>
      <x:c r="U91" s="26" t="str">
        <x:f>IF(T91="","",T91*4.184)</x:f>
      </x:c>
      <x:c r="V91" s="26"/>
      <x:c r="W91" t="str"/>
      <x:c r="X91" t="str"/>
      <x:c r="Y91" t="str"/>
      <x:c r="Z91" s="26" t="n">
        <x:v>-665.6</x:v>
      </x:c>
      <x:c r="AA91" s="26" t="n">
        <x:v>-711.49</x:v>
      </x:c>
      <x:c r="AB91" s="26" t="n">
        <x:v>-710.236</x:v>
      </x:c>
      <x:c r="AC91" s="26" t="n">
        <x:v>-714.3900000000001</x:v>
      </x:c>
      <x:c r="AD91" s="26" t="n">
        <x:v>-698.10851</x:v>
      </x:c>
      <x:c r="AE91" s="26" t="str"/>
      <x:c r="AF91" s="26" t="str"/>
      <x:c r="AG91" s="26"/>
      <x:c r="AH91" s="26"/>
    </x:row>
    <x:row r="92">
      <x:c r="A92" t="str">
        <x:v>cbt_030</x:v>
      </x:c>
      <x:c r="B92" t="str">
        <x:v>Triacetin</x:v>
      </x:c>
      <x:c r="C92" t="str">
        <x:v>CC(=O)OCC(COC(C)=O)OC(C)=O</x:v>
      </x:c>
      <x:c r="D92" t="str">
        <x:v>AM1</x:v>
      </x:c>
      <x:c r="E92" s="28" t="b">
        <x:v>1</x:v>
      </x:c>
      <x:c r="F92" t="n">
        <x:v>0</x:v>
      </x:c>
      <x:c r="G92" t="n">
        <x:v>1</x:v>
      </x:c>
      <x:c r="H92" t="str">
        <x:v>Pending</x:v>
      </x:c>
      <x:c r="I92" t="str">
        <x:v>NOT_ATTEMPTED</x:v>
      </x:c>
      <x:c r="J92" t="str">
        <x:v>NOT_ATTEMPTED</x:v>
      </x:c>
      <x:c r="K92" t="str">
        <x:v>gfn2</x:v>
      </x:c>
      <x:c r="L92" t="str">
        <x:v>off</x:v>
      </x:c>
      <x:c r="M92" s="26" t="n">
        <x:v>6</x:v>
      </x:c>
      <x:c r="N92" s="26" t="n">
        <x:v>0.125</x:v>
      </x:c>
      <x:c r="O92" t="n">
        <x:v>4</x:v>
      </x:c>
      <x:c r="P92" t="n">
        <x:v>10</x:v>
      </x:c>
      <x:c r="Q92"/>
      <x:c r="R92"/>
      <x:c r="S92"/>
      <x:c r="T92" s="26"/>
      <x:c r="U92" s="26" t="str">
        <x:f>IF(T92="","",T92*4.184)</x:f>
      </x:c>
      <x:c r="V92" s="26"/>
      <x:c r="W92" t="str"/>
      <x:c r="X92" t="str"/>
      <x:c r="Y92" t="str"/>
      <x:c r="Z92" s="26" t="n">
        <x:v>-1245</x:v>
      </x:c>
      <x:c r="AA92" s="26" t="n">
        <x:v>-1186.21</x:v>
      </x:c>
      <x:c r="AB92" s="26" t="n">
        <x:v>-1193.078</x:v>
      </x:c>
      <x:c r="AC92" s="26" t="n">
        <x:v>-1202.397</x:v>
      </x:c>
      <x:c r="AD92" s="26" t="n">
        <x:v>-1190.81269</x:v>
      </x:c>
      <x:c r="AE92" s="26" t="str">
        <x:v>mol_19015</x:v>
      </x:c>
      <x:c r="AF92" s="26" t="str">
        <x:v>Pending</x:v>
      </x:c>
      <x:c r="AG92" s="26"/>
      <x:c r="AH92" s="26"/>
    </x:row>
    <x:row r="93">
      <x:c r="A93" t="str">
        <x:v>cbt_030</x:v>
      </x:c>
      <x:c r="B93" t="str">
        <x:v>Triacetin</x:v>
      </x:c>
      <x:c r="C93" t="str">
        <x:v>CC(=O)OCC(COC(C)=O)OC(C)=O</x:v>
      </x:c>
      <x:c r="D93" t="str">
        <x:v>PM3</x:v>
      </x:c>
      <x:c r="E93" s="28" t="b">
        <x:v>1</x:v>
      </x:c>
      <x:c r="F93" t="n">
        <x:v>0</x:v>
      </x:c>
      <x:c r="G93" t="n">
        <x:v>1</x:v>
      </x:c>
      <x:c r="H93" t="str">
        <x:v>Pending</x:v>
      </x:c>
      <x:c r="I93" t="str">
        <x:v>NOT_ATTEMPTED</x:v>
      </x:c>
      <x:c r="J93" t="str">
        <x:v>NOT_ATTEMPTED</x:v>
      </x:c>
      <x:c r="K93" t="str">
        <x:v>gfn2</x:v>
      </x:c>
      <x:c r="L93" t="str">
        <x:v>off</x:v>
      </x:c>
      <x:c r="M93" s="26" t="n">
        <x:v>6</x:v>
      </x:c>
      <x:c r="N93" s="26" t="n">
        <x:v>0.125</x:v>
      </x:c>
      <x:c r="O93" t="n">
        <x:v>4</x:v>
      </x:c>
      <x:c r="P93" t="n">
        <x:v>10</x:v>
      </x:c>
      <x:c r="Q93"/>
      <x:c r="R93"/>
      <x:c r="S93"/>
      <x:c r="T93" s="26"/>
      <x:c r="U93" s="26" t="str">
        <x:f>IF(T93="","",T93*4.184)</x:f>
      </x:c>
      <x:c r="V93" s="26"/>
      <x:c r="W93" t="str"/>
      <x:c r="X93" t="str"/>
      <x:c r="Y93" t="str"/>
      <x:c r="Z93" s="26" t="n">
        <x:v>-1245</x:v>
      </x:c>
      <x:c r="AA93" s="26" t="n">
        <x:v>-1186.21</x:v>
      </x:c>
      <x:c r="AB93" s="26" t="n">
        <x:v>-1193.078</x:v>
      </x:c>
      <x:c r="AC93" s="26" t="n">
        <x:v>-1202.397</x:v>
      </x:c>
      <x:c r="AD93" s="26" t="n">
        <x:v>-1190.81269</x:v>
      </x:c>
      <x:c r="AE93" s="26" t="str">
        <x:v>mol_19015</x:v>
      </x:c>
      <x:c r="AF93" s="26" t="str">
        <x:v>Pending</x:v>
      </x:c>
      <x:c r="AG93" s="26"/>
      <x:c r="AH93" s="26"/>
    </x:row>
    <x:row r="94">
      <x:c r="A94" t="str">
        <x:v>cbt_030</x:v>
      </x:c>
      <x:c r="B94" t="str">
        <x:v>Triacetin</x:v>
      </x:c>
      <x:c r="C94" t="str">
        <x:v>CC(=O)OCC(COC(C)=O)OC(C)=O</x:v>
      </x:c>
      <x:c r="D94" t="str">
        <x:v>PM7</x:v>
      </x:c>
      <x:c r="E94" s="28" t="b">
        <x:v>1</x:v>
      </x:c>
      <x:c r="F94" t="n">
        <x:v>0</x:v>
      </x:c>
      <x:c r="G94" t="n">
        <x:v>1</x:v>
      </x:c>
      <x:c r="H94" t="str">
        <x:v>Pending</x:v>
      </x:c>
      <x:c r="I94" t="str">
        <x:v>NOT_ATTEMPTED</x:v>
      </x:c>
      <x:c r="J94" t="str">
        <x:v>NOT_ATTEMPTED</x:v>
      </x:c>
      <x:c r="K94" t="str">
        <x:v>gfn2</x:v>
      </x:c>
      <x:c r="L94" t="str">
        <x:v>off</x:v>
      </x:c>
      <x:c r="M94" s="26" t="n">
        <x:v>6</x:v>
      </x:c>
      <x:c r="N94" s="26" t="n">
        <x:v>0.125</x:v>
      </x:c>
      <x:c r="O94" t="n">
        <x:v>4</x:v>
      </x:c>
      <x:c r="P94" t="n">
        <x:v>10</x:v>
      </x:c>
      <x:c r="Q94"/>
      <x:c r="R94"/>
      <x:c r="S94"/>
      <x:c r="T94" s="26"/>
      <x:c r="U94" s="26" t="str">
        <x:f>IF(T94="","",T94*4.184)</x:f>
      </x:c>
      <x:c r="V94" s="26"/>
      <x:c r="W94" t="str"/>
      <x:c r="X94" t="str"/>
      <x:c r="Y94" t="str"/>
      <x:c r="Z94" s="26" t="n">
        <x:v>-1245</x:v>
      </x:c>
      <x:c r="AA94" s="26" t="n">
        <x:v>-1186.21</x:v>
      </x:c>
      <x:c r="AB94" s="26" t="n">
        <x:v>-1193.078</x:v>
      </x:c>
      <x:c r="AC94" s="26" t="n">
        <x:v>-1202.397</x:v>
      </x:c>
      <x:c r="AD94" s="26" t="n">
        <x:v>-1190.81269</x:v>
      </x:c>
      <x:c r="AE94" s="26" t="str">
        <x:v>mol_19015</x:v>
      </x:c>
      <x:c r="AF94" s="26" t="str">
        <x:v>Pending</x:v>
      </x:c>
      <x:c r="AG94" s="26"/>
      <x:c r="AH94" s="26"/>
    </x:row>
    <x:row r="95">
      <x:c r="A95" t="str">
        <x:v>cbt_031</x:v>
      </x:c>
      <x:c r="B95" t="str">
        <x:v>Tributyrin</x:v>
      </x:c>
      <x:c r="C95" t="str">
        <x:v>CCCC(=O)OCC(COC(=O)CCC)OC(=O)CCC</x:v>
      </x:c>
      <x:c r="D95" t="str">
        <x:v>AM1</x:v>
      </x:c>
      <x:c r="E95" s="28" t="b">
        <x:v>1</x:v>
      </x:c>
      <x:c r="F95" t="n">
        <x:v>0</x:v>
      </x:c>
      <x:c r="G95" t="n">
        <x:v>1</x:v>
      </x:c>
      <x:c r="H95" t="str">
        <x:v>Pending</x:v>
      </x:c>
      <x:c r="I95" t="str">
        <x:v>NOT_ATTEMPTED</x:v>
      </x:c>
      <x:c r="J95" t="str">
        <x:v>NOT_ATTEMPTED</x:v>
      </x:c>
      <x:c r="K95" t="str">
        <x:v>gfn2</x:v>
      </x:c>
      <x:c r="L95" t="str">
        <x:v>off</x:v>
      </x:c>
      <x:c r="M95" s="26" t="n">
        <x:v>6</x:v>
      </x:c>
      <x:c r="N95" s="26" t="n">
        <x:v>0.125</x:v>
      </x:c>
      <x:c r="O95" t="n">
        <x:v>4</x:v>
      </x:c>
      <x:c r="P95" t="n">
        <x:v>10</x:v>
      </x:c>
      <x:c r="Q95"/>
      <x:c r="R95"/>
      <x:c r="S95"/>
      <x:c r="T95" s="26"/>
      <x:c r="U95" s="26" t="str">
        <x:f>IF(T95="","",T95*4.184)</x:f>
      </x:c>
      <x:c r="V95" s="26"/>
      <x:c r="W95" t="str"/>
      <x:c r="X95" t="str"/>
      <x:c r="Y95" t="str"/>
      <x:c r="Z95" s="26" t="n">
        <x:v>-1388.9</x:v>
      </x:c>
      <x:c r="AA95" s="26" t="n">
        <x:v>-1310.0500000000002</x:v>
      </x:c>
      <x:c r="AB95" s="26" t="n">
        <x:v>-1312.3609999999999</x:v>
      </x:c>
      <x:c r="AC95" s="26" t="n">
        <x:v>-1325.767</x:v>
      </x:c>
      <x:c r="AD95" s="26" t="n">
        <x:v>-1303.39424</x:v>
      </x:c>
      <x:c r="AE95" s="26" t="str"/>
      <x:c r="AF95" s="26" t="str"/>
      <x:c r="AG95" s="26"/>
      <x:c r="AH95" s="26"/>
    </x:row>
    <x:row r="96">
      <x:c r="A96" t="str">
        <x:v>cbt_031</x:v>
      </x:c>
      <x:c r="B96" t="str">
        <x:v>Tributyrin</x:v>
      </x:c>
      <x:c r="C96" t="str">
        <x:v>CCCC(=O)OCC(COC(=O)CCC)OC(=O)CCC</x:v>
      </x:c>
      <x:c r="D96" t="str">
        <x:v>PM3</x:v>
      </x:c>
      <x:c r="E96" s="28" t="b">
        <x:v>1</x:v>
      </x:c>
      <x:c r="F96" t="n">
        <x:v>0</x:v>
      </x:c>
      <x:c r="G96" t="n">
        <x:v>1</x:v>
      </x:c>
      <x:c r="H96" t="str">
        <x:v>Pending</x:v>
      </x:c>
      <x:c r="I96" t="str">
        <x:v>NOT_ATTEMPTED</x:v>
      </x:c>
      <x:c r="J96" t="str">
        <x:v>NOT_ATTEMPTED</x:v>
      </x:c>
      <x:c r="K96" t="str">
        <x:v>gfn2</x:v>
      </x:c>
      <x:c r="L96" t="str">
        <x:v>off</x:v>
      </x:c>
      <x:c r="M96" s="26" t="n">
        <x:v>6</x:v>
      </x:c>
      <x:c r="N96" s="26" t="n">
        <x:v>0.125</x:v>
      </x:c>
      <x:c r="O96" t="n">
        <x:v>4</x:v>
      </x:c>
      <x:c r="P96" t="n">
        <x:v>10</x:v>
      </x:c>
      <x:c r="Q96"/>
      <x:c r="R96"/>
      <x:c r="S96"/>
      <x:c r="T96" s="26"/>
      <x:c r="U96" s="26" t="str">
        <x:f>IF(T96="","",T96*4.184)</x:f>
      </x:c>
      <x:c r="V96" s="26"/>
      <x:c r="W96" t="str"/>
      <x:c r="X96" t="str"/>
      <x:c r="Y96" t="str"/>
      <x:c r="Z96" s="26" t="n">
        <x:v>-1388.9</x:v>
      </x:c>
      <x:c r="AA96" s="26" t="n">
        <x:v>-1310.0500000000002</x:v>
      </x:c>
      <x:c r="AB96" s="26" t="n">
        <x:v>-1312.3609999999999</x:v>
      </x:c>
      <x:c r="AC96" s="26" t="n">
        <x:v>-1325.767</x:v>
      </x:c>
      <x:c r="AD96" s="26" t="n">
        <x:v>-1303.39424</x:v>
      </x:c>
      <x:c r="AE96" s="26" t="str"/>
      <x:c r="AF96" s="26" t="str"/>
      <x:c r="AG96" s="26"/>
      <x:c r="AH96" s="26"/>
    </x:row>
    <x:row r="97">
      <x:c r="A97" t="str">
        <x:v>cbt_031</x:v>
      </x:c>
      <x:c r="B97" t="str">
        <x:v>Tributyrin</x:v>
      </x:c>
      <x:c r="C97" t="str">
        <x:v>CCCC(=O)OCC(COC(=O)CCC)OC(=O)CCC</x:v>
      </x:c>
      <x:c r="D97" t="str">
        <x:v>PM7</x:v>
      </x:c>
      <x:c r="E97" s="28" t="b">
        <x:v>1</x:v>
      </x:c>
      <x:c r="F97" t="n">
        <x:v>0</x:v>
      </x:c>
      <x:c r="G97" t="n">
        <x:v>1</x:v>
      </x:c>
      <x:c r="H97" t="str">
        <x:v>Pending</x:v>
      </x:c>
      <x:c r="I97" t="str">
        <x:v>NOT_ATTEMPTED</x:v>
      </x:c>
      <x:c r="J97" t="str">
        <x:v>NOT_ATTEMPTED</x:v>
      </x:c>
      <x:c r="K97" t="str">
        <x:v>gfn2</x:v>
      </x:c>
      <x:c r="L97" t="str">
        <x:v>off</x:v>
      </x:c>
      <x:c r="M97" s="26" t="n">
        <x:v>6</x:v>
      </x:c>
      <x:c r="N97" s="26" t="n">
        <x:v>0.125</x:v>
      </x:c>
      <x:c r="O97" t="n">
        <x:v>4</x:v>
      </x:c>
      <x:c r="P97" t="n">
        <x:v>10</x:v>
      </x:c>
      <x:c r="Q97"/>
      <x:c r="R97"/>
      <x:c r="S97"/>
      <x:c r="T97" s="26"/>
      <x:c r="U97" s="26" t="str">
        <x:f>IF(T97="","",T97*4.184)</x:f>
      </x:c>
      <x:c r="V97" s="26"/>
      <x:c r="W97" t="str"/>
      <x:c r="X97" t="str"/>
      <x:c r="Y97" t="str"/>
      <x:c r="Z97" s="26" t="n">
        <x:v>-1388.9</x:v>
      </x:c>
      <x:c r="AA97" s="26" t="n">
        <x:v>-1310.0500000000002</x:v>
      </x:c>
      <x:c r="AB97" s="26" t="n">
        <x:v>-1312.3609999999999</x:v>
      </x:c>
      <x:c r="AC97" s="26" t="n">
        <x:v>-1325.767</x:v>
      </x:c>
      <x:c r="AD97" s="26" t="n">
        <x:v>-1303.39424</x:v>
      </x:c>
      <x:c r="AE97" s="26" t="str"/>
      <x:c r="AF97" s="26" t="str"/>
      <x:c r="AG97" s="26"/>
      <x:c r="AH97" s="26"/>
    </x:row>
    <x:row r="98">
      <x:c r="A98" t="str">
        <x:v>cbt_032</x:v>
      </x:c>
      <x:c r="B98" t="str">
        <x:v>Trilaurin</x:v>
      </x:c>
      <x:c r="C98" t="str">
        <x:v>CCCCCCCCCCCC(=O)OCC(COC(=O)CCCCCCCCCCC)OC(=O)CCCCCCCCCCC</x:v>
      </x:c>
      <x:c r="D98" t="str">
        <x:v>AM1</x:v>
      </x:c>
      <x:c r="E98" s="28" t="b">
        <x:v>1</x:v>
      </x:c>
      <x:c r="F98" t="n">
        <x:v>0</x:v>
      </x:c>
      <x:c r="G98" t="n">
        <x:v>1</x:v>
      </x:c>
      <x:c r="H98" t="str">
        <x:v>Pending</x:v>
      </x:c>
      <x:c r="I98" t="str">
        <x:v>NOT_ATTEMPTED</x:v>
      </x:c>
      <x:c r="J98" t="str">
        <x:v>NOT_ATTEMPTED</x:v>
      </x:c>
      <x:c r="K98" t="str">
        <x:v>gfn2</x:v>
      </x:c>
      <x:c r="L98" t="str">
        <x:v>off</x:v>
      </x:c>
      <x:c r="M98" s="26" t="n">
        <x:v>6</x:v>
      </x:c>
      <x:c r="N98" s="26" t="n">
        <x:v>0.125</x:v>
      </x:c>
      <x:c r="O98" t="n">
        <x:v>4</x:v>
      </x:c>
      <x:c r="P98" t="n">
        <x:v>10</x:v>
      </x:c>
      <x:c r="Q98"/>
      <x:c r="R98"/>
      <x:c r="S98"/>
      <x:c r="T98" s="26"/>
      <x:c r="U98" s="26" t="str">
        <x:f>IF(T98="","",T98*4.184)</x:f>
      </x:c>
      <x:c r="V98" s="26"/>
      <x:c r="W98" t="str"/>
      <x:c r="X98" t="str"/>
      <x:c r="Y98" t="str"/>
      <x:c r="Z98" s="26" t="n">
        <x:v>-1887.4899999999998</x:v>
      </x:c>
      <x:c r="AA98" s="26" t="n">
        <x:v>-1805.41</x:v>
      </x:c>
      <x:c r="AB98" s="26" t="n">
        <x:v>-1810.6729999999998</x:v>
      </x:c>
      <x:c r="AC98" s="26" t="n">
        <x:v>-1825.663</x:v>
      </x:c>
      <x:c r="AD98" s="26" t="n">
        <x:v>-1824.35589</x:v>
      </x:c>
      <x:c r="AE98" s="26" t="str"/>
      <x:c r="AF98" s="26" t="str"/>
      <x:c r="AG98" s="26"/>
      <x:c r="AH98" s="26"/>
    </x:row>
    <x:row r="99">
      <x:c r="A99" t="str">
        <x:v>cbt_032</x:v>
      </x:c>
      <x:c r="B99" t="str">
        <x:v>Trilaurin</x:v>
      </x:c>
      <x:c r="C99" t="str">
        <x:v>CCCCCCCCCCCC(=O)OCC(COC(=O)CCCCCCCCCCC)OC(=O)CCCCCCCCCCC</x:v>
      </x:c>
      <x:c r="D99" t="str">
        <x:v>PM3</x:v>
      </x:c>
      <x:c r="E99" s="28" t="b">
        <x:v>1</x:v>
      </x:c>
      <x:c r="F99" t="n">
        <x:v>0</x:v>
      </x:c>
      <x:c r="G99" t="n">
        <x:v>1</x:v>
      </x:c>
      <x:c r="H99" t="str">
        <x:v>Pending</x:v>
      </x:c>
      <x:c r="I99" t="str">
        <x:v>NOT_ATTEMPTED</x:v>
      </x:c>
      <x:c r="J99" t="str">
        <x:v>NOT_ATTEMPTED</x:v>
      </x:c>
      <x:c r="K99" t="str">
        <x:v>gfn2</x:v>
      </x:c>
      <x:c r="L99" t="str">
        <x:v>off</x:v>
      </x:c>
      <x:c r="M99" s="26" t="n">
        <x:v>6</x:v>
      </x:c>
      <x:c r="N99" s="26" t="n">
        <x:v>0.125</x:v>
      </x:c>
      <x:c r="O99" t="n">
        <x:v>4</x:v>
      </x:c>
      <x:c r="P99" t="n">
        <x:v>10</x:v>
      </x:c>
      <x:c r="Q99"/>
      <x:c r="R99"/>
      <x:c r="S99"/>
      <x:c r="T99" s="26"/>
      <x:c r="U99" s="26" t="str">
        <x:f>IF(T99="","",T99*4.184)</x:f>
      </x:c>
      <x:c r="V99" s="26"/>
      <x:c r="W99" t="str"/>
      <x:c r="X99" t="str"/>
      <x:c r="Y99" t="str"/>
      <x:c r="Z99" s="26" t="n">
        <x:v>-1887.4899999999998</x:v>
      </x:c>
      <x:c r="AA99" s="26" t="n">
        <x:v>-1805.41</x:v>
      </x:c>
      <x:c r="AB99" s="26" t="n">
        <x:v>-1810.6729999999998</x:v>
      </x:c>
      <x:c r="AC99" s="26" t="n">
        <x:v>-1825.663</x:v>
      </x:c>
      <x:c r="AD99" s="26" t="n">
        <x:v>-1824.35589</x:v>
      </x:c>
      <x:c r="AE99" s="26" t="str"/>
      <x:c r="AF99" s="26" t="str"/>
      <x:c r="AG99" s="26"/>
      <x:c r="AH99" s="26"/>
    </x:row>
    <x:row r="100">
      <x:c r="A100" t="str">
        <x:v>cbt_032</x:v>
      </x:c>
      <x:c r="B100" t="str">
        <x:v>Trilaurin</x:v>
      </x:c>
      <x:c r="C100" t="str">
        <x:v>CCCCCCCCCCCC(=O)OCC(COC(=O)CCCCCCCCCCC)OC(=O)CCCCCCCCCCC</x:v>
      </x:c>
      <x:c r="D100" t="str">
        <x:v>PM7</x:v>
      </x:c>
      <x:c r="E100" s="28" t="b">
        <x:v>1</x:v>
      </x:c>
      <x:c r="F100" t="n">
        <x:v>0</x:v>
      </x:c>
      <x:c r="G100" t="n">
        <x:v>1</x:v>
      </x:c>
      <x:c r="H100" t="str">
        <x:v>Pending</x:v>
      </x:c>
      <x:c r="I100" t="str">
        <x:v>NOT_ATTEMPTED</x:v>
      </x:c>
      <x:c r="J100" t="str">
        <x:v>NOT_ATTEMPTED</x:v>
      </x:c>
      <x:c r="K100" t="str">
        <x:v>gfn2</x:v>
      </x:c>
      <x:c r="L100" t="str">
        <x:v>off</x:v>
      </x:c>
      <x:c r="M100" s="26" t="n">
        <x:v>6</x:v>
      </x:c>
      <x:c r="N100" s="26" t="n">
        <x:v>0.125</x:v>
      </x:c>
      <x:c r="O100" t="n">
        <x:v>4</x:v>
      </x:c>
      <x:c r="P100" t="n">
        <x:v>10</x:v>
      </x:c>
      <x:c r="Q100"/>
      <x:c r="R100"/>
      <x:c r="S100"/>
      <x:c r="T100" s="26"/>
      <x:c r="U100" s="26" t="str">
        <x:f>IF(T100="","",T100*4.184)</x:f>
      </x:c>
      <x:c r="V100" s="26"/>
      <x:c r="W100" t="str"/>
      <x:c r="X100" t="str"/>
      <x:c r="Y100" t="str"/>
      <x:c r="Z100" s="26" t="n">
        <x:v>-1887.4899999999998</x:v>
      </x:c>
      <x:c r="AA100" s="26" t="n">
        <x:v>-1805.41</x:v>
      </x:c>
      <x:c r="AB100" s="26" t="n">
        <x:v>-1810.6729999999998</x:v>
      </x:c>
      <x:c r="AC100" s="26" t="n">
        <x:v>-1825.663</x:v>
      </x:c>
      <x:c r="AD100" s="26" t="n">
        <x:v>-1824.35589</x:v>
      </x:c>
      <x:c r="AE100" s="26" t="str"/>
      <x:c r="AF100" s="26" t="str"/>
      <x:c r="AG100" s="26"/>
      <x:c r="AH100" s="26"/>
    </x:row>
    <x:row r="101">
      <x:c r="A101" t="str">
        <x:v>cbt_033</x:v>
      </x:c>
      <x:c r="B101" t="str">
        <x:v>Trimyristin</x:v>
      </x:c>
      <x:c r="C101" t="str">
        <x:v>CCCCCCCCCCCCCC(=O)OCC(COC(=O)CCCCCCCCCCCCC)OC(=O)CCCCCCCCCCCCC</x:v>
      </x:c>
      <x:c r="D101" t="str">
        <x:v>AM1</x:v>
      </x:c>
      <x:c r="E101" s="28" t="b">
        <x:v>1</x:v>
      </x:c>
      <x:c r="F101" t="n">
        <x:v>0</x:v>
      </x:c>
      <x:c r="G101" t="n">
        <x:v>1</x:v>
      </x:c>
      <x:c r="H101" t="str">
        <x:v>Pending</x:v>
      </x:c>
      <x:c r="I101" t="str">
        <x:v>NOT_ATTEMPTED</x:v>
      </x:c>
      <x:c r="J101" t="str">
        <x:v>NOT_ATTEMPTED</x:v>
      </x:c>
      <x:c r="K101" t="str">
        <x:v>gfn2</x:v>
      </x:c>
      <x:c r="L101" t="str">
        <x:v>off</x:v>
      </x:c>
      <x:c r="M101" s="26" t="n">
        <x:v>6</x:v>
      </x:c>
      <x:c r="N101" s="26" t="n">
        <x:v>0.125</x:v>
      </x:c>
      <x:c r="O101" t="n">
        <x:v>4</x:v>
      </x:c>
      <x:c r="P101" t="n">
        <x:v>10</x:v>
      </x:c>
      <x:c r="Q101"/>
      <x:c r="R101"/>
      <x:c r="S101"/>
      <x:c r="T101" s="26"/>
      <x:c r="U101" s="26" t="str">
        <x:f>IF(T101="","",T101*4.184)</x:f>
      </x:c>
      <x:c r="V101" s="26"/>
      <x:c r="W101" t="str"/>
      <x:c r="X101" t="str"/>
      <x:c r="Y101" t="str"/>
      <x:c r="Z101" s="26" t="n">
        <x:v>-2003.6000000000001</x:v>
      </x:c>
      <x:c r="AA101" s="26" t="n">
        <x:v>-1929.25</x:v>
      </x:c>
      <x:c r="AB101" s="26" t="n">
        <x:v>-1935.2509999999997</x:v>
      </x:c>
      <x:c r="AC101" s="26" t="n">
        <x:v>-1950.6370000000002</x:v>
      </x:c>
      <x:c r="AD101" s="26" t="n">
        <x:v>-1955.36378</x:v>
      </x:c>
      <x:c r="AE101" s="26" t="str"/>
      <x:c r="AF101" s="26" t="str"/>
      <x:c r="AG101" s="26"/>
      <x:c r="AH101" s="26"/>
    </x:row>
    <x:row r="102">
      <x:c r="A102" t="str">
        <x:v>cbt_033</x:v>
      </x:c>
      <x:c r="B102" t="str">
        <x:v>Trimyristin</x:v>
      </x:c>
      <x:c r="C102" t="str">
        <x:v>CCCCCCCCCCCCCC(=O)OCC(COC(=O)CCCCCCCCCCCCC)OC(=O)CCCCCCCCCCCCC</x:v>
      </x:c>
      <x:c r="D102" t="str">
        <x:v>PM3</x:v>
      </x:c>
      <x:c r="E102" s="28" t="b">
        <x:v>1</x:v>
      </x:c>
      <x:c r="F102" t="n">
        <x:v>0</x:v>
      </x:c>
      <x:c r="G102" t="n">
        <x:v>1</x:v>
      </x:c>
      <x:c r="H102" t="str">
        <x:v>Pending</x:v>
      </x:c>
      <x:c r="I102" t="str">
        <x:v>NOT_ATTEMPTED</x:v>
      </x:c>
      <x:c r="J102" t="str">
        <x:v>NOT_ATTEMPTED</x:v>
      </x:c>
      <x:c r="K102" t="str">
        <x:v>gfn2</x:v>
      </x:c>
      <x:c r="L102" t="str">
        <x:v>off</x:v>
      </x:c>
      <x:c r="M102" s="26" t="n">
        <x:v>6</x:v>
      </x:c>
      <x:c r="N102" s="26" t="n">
        <x:v>0.125</x:v>
      </x:c>
      <x:c r="O102" t="n">
        <x:v>4</x:v>
      </x:c>
      <x:c r="P102" t="n">
        <x:v>10</x:v>
      </x:c>
      <x:c r="Q102"/>
      <x:c r="R102"/>
      <x:c r="S102"/>
      <x:c r="T102" s="26"/>
      <x:c r="U102" s="26" t="str">
        <x:f>IF(T102="","",T102*4.184)</x:f>
      </x:c>
      <x:c r="V102" s="26"/>
      <x:c r="W102" t="str"/>
      <x:c r="X102" t="str"/>
      <x:c r="Y102" t="str"/>
      <x:c r="Z102" s="26" t="n">
        <x:v>-2003.6000000000001</x:v>
      </x:c>
      <x:c r="AA102" s="26" t="n">
        <x:v>-1929.25</x:v>
      </x:c>
      <x:c r="AB102" s="26" t="n">
        <x:v>-1935.2509999999997</x:v>
      </x:c>
      <x:c r="AC102" s="26" t="n">
        <x:v>-1950.6370000000002</x:v>
      </x:c>
      <x:c r="AD102" s="26" t="n">
        <x:v>-1955.36378</x:v>
      </x:c>
      <x:c r="AE102" s="26" t="str"/>
      <x:c r="AF102" s="26" t="str"/>
      <x:c r="AG102" s="26"/>
      <x:c r="AH102" s="26"/>
    </x:row>
    <x:row r="103">
      <x:c r="A103" t="str">
        <x:v>cbt_033</x:v>
      </x:c>
      <x:c r="B103" t="str">
        <x:v>Trimyristin</x:v>
      </x:c>
      <x:c r="C103" t="str">
        <x:v>CCCCCCCCCCCCCC(=O)OCC(COC(=O)CCCCCCCCCCCCC)OC(=O)CCCCCCCCCCCCC</x:v>
      </x:c>
      <x:c r="D103" t="str">
        <x:v>PM7</x:v>
      </x:c>
      <x:c r="E103" s="28" t="b">
        <x:v>1</x:v>
      </x:c>
      <x:c r="F103" t="n">
        <x:v>0</x:v>
      </x:c>
      <x:c r="G103" t="n">
        <x:v>1</x:v>
      </x:c>
      <x:c r="H103" t="str">
        <x:v>Pending</x:v>
      </x:c>
      <x:c r="I103" t="str">
        <x:v>NOT_ATTEMPTED</x:v>
      </x:c>
      <x:c r="J103" t="str">
        <x:v>NOT_ATTEMPTED</x:v>
      </x:c>
      <x:c r="K103" t="str">
        <x:v>gfn2</x:v>
      </x:c>
      <x:c r="L103" t="str">
        <x:v>off</x:v>
      </x:c>
      <x:c r="M103" s="26" t="n">
        <x:v>6</x:v>
      </x:c>
      <x:c r="N103" s="26" t="n">
        <x:v>0.125</x:v>
      </x:c>
      <x:c r="O103" t="n">
        <x:v>4</x:v>
      </x:c>
      <x:c r="P103" t="n">
        <x:v>10</x:v>
      </x:c>
      <x:c r="Q103"/>
      <x:c r="R103"/>
      <x:c r="S103"/>
      <x:c r="T103" s="26"/>
      <x:c r="U103" s="26" t="str">
        <x:f>IF(T103="","",T103*4.184)</x:f>
      </x:c>
      <x:c r="V103" s="26"/>
      <x:c r="W103" t="str"/>
      <x:c r="X103" t="str"/>
      <x:c r="Y103" t="str"/>
      <x:c r="Z103" s="26" t="n">
        <x:v>-2003.6000000000001</x:v>
      </x:c>
      <x:c r="AA103" s="26" t="n">
        <x:v>-1929.25</x:v>
      </x:c>
      <x:c r="AB103" s="26" t="n">
        <x:v>-1935.2509999999997</x:v>
      </x:c>
      <x:c r="AC103" s="26" t="n">
        <x:v>-1950.6370000000002</x:v>
      </x:c>
      <x:c r="AD103" s="26" t="n">
        <x:v>-1955.36378</x:v>
      </x:c>
      <x:c r="AE103" s="26" t="str"/>
      <x:c r="AF103" s="26" t="str"/>
      <x:c r="AG103" s="26"/>
      <x:c r="AH103" s="26"/>
    </x:row>
    <x:row r="104">
      <x:c r="A104" t="str">
        <x:v>cbt_034</x:v>
      </x:c>
      <x:c r="B104" t="str">
        <x:v>Tripalmitin</x:v>
      </x:c>
      <x:c r="C104" t="str">
        <x:v>CCCCCCCCCCCCCCCC(=O)OCC(COC(=O)CCCCCCCCCCCCCCC)OC(=O)CCCCCCCCCCCCCCC</x:v>
      </x:c>
      <x:c r="D104" t="str">
        <x:v>AM1</x:v>
      </x:c>
      <x:c r="E104" s="28" t="b">
        <x:v>1</x:v>
      </x:c>
      <x:c r="F104" t="n">
        <x:v>0</x:v>
      </x:c>
      <x:c r="G104" t="n">
        <x:v>1</x:v>
      </x:c>
      <x:c r="H104" t="str">
        <x:v>Pending</x:v>
      </x:c>
      <x:c r="I104" t="str">
        <x:v>NOT_ATTEMPTED</x:v>
      </x:c>
      <x:c r="J104" t="str">
        <x:v>NOT_ATTEMPTED</x:v>
      </x:c>
      <x:c r="K104" t="str">
        <x:v>gfn2</x:v>
      </x:c>
      <x:c r="L104" t="str">
        <x:v>off</x:v>
      </x:c>
      <x:c r="M104" s="26" t="n">
        <x:v>6</x:v>
      </x:c>
      <x:c r="N104" s="26" t="n">
        <x:v>0.125</x:v>
      </x:c>
      <x:c r="O104" t="n">
        <x:v>4</x:v>
      </x:c>
      <x:c r="P104" t="n">
        <x:v>10</x:v>
      </x:c>
      <x:c r="Q104"/>
      <x:c r="R104"/>
      <x:c r="S104"/>
      <x:c r="T104" s="26"/>
      <x:c r="U104" s="26" t="str">
        <x:f>IF(T104="","",T104*4.184)</x:f>
      </x:c>
      <x:c r="V104" s="26"/>
      <x:c r="W104" t="str"/>
      <x:c r="X104" t="str"/>
      <x:c r="Y104" t="str"/>
      <x:c r="Z104" s="26" t="n">
        <x:v>-2089</x:v>
      </x:c>
      <x:c r="AA104" s="26" t="n">
        <x:v>-2053.09</x:v>
      </x:c>
      <x:c r="AB104" s="26" t="n">
        <x:v>-2059.8289999999997</x:v>
      </x:c>
      <x:c r="AC104" s="26" t="n">
        <x:v>-2075.611</x:v>
      </x:c>
      <x:c r="AD104" s="26" t="n">
        <x:v>-2082.95641</x:v>
      </x:c>
      <x:c r="AE104" s="26" t="str"/>
      <x:c r="AF104" s="26" t="str"/>
      <x:c r="AG104" s="26"/>
      <x:c r="AH104" s="26"/>
    </x:row>
    <x:row r="105">
      <x:c r="A105" t="str">
        <x:v>cbt_034</x:v>
      </x:c>
      <x:c r="B105" t="str">
        <x:v>Tripalmitin</x:v>
      </x:c>
      <x:c r="C105" t="str">
        <x:v>CCCCCCCCCCCCCCCC(=O)OCC(COC(=O)CCCCCCCCCCCCCCC)OC(=O)CCCCCCCCCCCCCCC</x:v>
      </x:c>
      <x:c r="D105" t="str">
        <x:v>PM3</x:v>
      </x:c>
      <x:c r="E105" s="28" t="b">
        <x:v>1</x:v>
      </x:c>
      <x:c r="F105" t="n">
        <x:v>0</x:v>
      </x:c>
      <x:c r="G105" t="n">
        <x:v>1</x:v>
      </x:c>
      <x:c r="H105" t="str">
        <x:v>Pending</x:v>
      </x:c>
      <x:c r="I105" t="str">
        <x:v>NOT_ATTEMPTED</x:v>
      </x:c>
      <x:c r="J105" t="str">
        <x:v>NOT_ATTEMPTED</x:v>
      </x:c>
      <x:c r="K105" t="str">
        <x:v>gfn2</x:v>
      </x:c>
      <x:c r="L105" t="str">
        <x:v>off</x:v>
      </x:c>
      <x:c r="M105" s="26" t="n">
        <x:v>6</x:v>
      </x:c>
      <x:c r="N105" s="26" t="n">
        <x:v>0.125</x:v>
      </x:c>
      <x:c r="O105" t="n">
        <x:v>4</x:v>
      </x:c>
      <x:c r="P105" t="n">
        <x:v>10</x:v>
      </x:c>
      <x:c r="Q105"/>
      <x:c r="R105"/>
      <x:c r="S105"/>
      <x:c r="T105" s="26"/>
      <x:c r="U105" s="26" t="str">
        <x:f>IF(T105="","",T105*4.184)</x:f>
      </x:c>
      <x:c r="V105" s="26"/>
      <x:c r="W105" t="str"/>
      <x:c r="X105" t="str"/>
      <x:c r="Y105" t="str"/>
      <x:c r="Z105" s="26" t="n">
        <x:v>-2089</x:v>
      </x:c>
      <x:c r="AA105" s="26" t="n">
        <x:v>-2053.09</x:v>
      </x:c>
      <x:c r="AB105" s="26" t="n">
        <x:v>-2059.8289999999997</x:v>
      </x:c>
      <x:c r="AC105" s="26" t="n">
        <x:v>-2075.611</x:v>
      </x:c>
      <x:c r="AD105" s="26" t="n">
        <x:v>-2082.95641</x:v>
      </x:c>
      <x:c r="AE105" s="26" t="str"/>
      <x:c r="AF105" s="26" t="str"/>
      <x:c r="AG105" s="26"/>
      <x:c r="AH105" s="26"/>
    </x:row>
    <x:row r="106">
      <x:c r="A106" t="str">
        <x:v>cbt_034</x:v>
      </x:c>
      <x:c r="B106" t="str">
        <x:v>Tripalmitin</x:v>
      </x:c>
      <x:c r="C106" t="str">
        <x:v>CCCCCCCCCCCCCCCC(=O)OCC(COC(=O)CCCCCCCCCCCCCCC)OC(=O)CCCCCCCCCCCCCCC</x:v>
      </x:c>
      <x:c r="D106" t="str">
        <x:v>PM7</x:v>
      </x:c>
      <x:c r="E106" s="28" t="b">
        <x:v>1</x:v>
      </x:c>
      <x:c r="F106" t="n">
        <x:v>0</x:v>
      </x:c>
      <x:c r="G106" t="n">
        <x:v>1</x:v>
      </x:c>
      <x:c r="H106" t="str">
        <x:v>Pending</x:v>
      </x:c>
      <x:c r="I106" t="str">
        <x:v>NOT_ATTEMPTED</x:v>
      </x:c>
      <x:c r="J106" t="str">
        <x:v>NOT_ATTEMPTED</x:v>
      </x:c>
      <x:c r="K106" t="str">
        <x:v>gfn2</x:v>
      </x:c>
      <x:c r="L106" t="str">
        <x:v>off</x:v>
      </x:c>
      <x:c r="M106" s="26" t="n">
        <x:v>6</x:v>
      </x:c>
      <x:c r="N106" s="26" t="n">
        <x:v>0.125</x:v>
      </x:c>
      <x:c r="O106" t="n">
        <x:v>4</x:v>
      </x:c>
      <x:c r="P106" t="n">
        <x:v>10</x:v>
      </x:c>
      <x:c r="Q106"/>
      <x:c r="R106"/>
      <x:c r="S106"/>
      <x:c r="T106" s="26"/>
      <x:c r="U106" s="26" t="str">
        <x:f>IF(T106="","",T106*4.184)</x:f>
      </x:c>
      <x:c r="V106" s="26"/>
      <x:c r="W106" t="str"/>
      <x:c r="X106" t="str"/>
      <x:c r="Y106" t="str"/>
      <x:c r="Z106" s="26" t="n">
        <x:v>-2089</x:v>
      </x:c>
      <x:c r="AA106" s="26" t="n">
        <x:v>-2053.09</x:v>
      </x:c>
      <x:c r="AB106" s="26" t="n">
        <x:v>-2059.8289999999997</x:v>
      </x:c>
      <x:c r="AC106" s="26" t="n">
        <x:v>-2075.611</x:v>
      </x:c>
      <x:c r="AD106" s="26" t="n">
        <x:v>-2082.95641</x:v>
      </x:c>
      <x:c r="AE106" s="26" t="str"/>
      <x:c r="AF106" s="26" t="str"/>
      <x:c r="AG106" s="26"/>
      <x:c r="AH106" s="26"/>
    </x:row>
    <x:row r="107">
      <x:c r="A107" t="str">
        <x:v>cbt_035</x:v>
      </x:c>
      <x:c r="B107" t="str">
        <x:v>Water</x:v>
      </x:c>
      <x:c r="C107" t="str">
        <x:v>O</x:v>
      </x:c>
      <x:c r="D107" t="str">
        <x:v>AM1</x:v>
      </x:c>
      <x:c r="E107" s="28" t="b">
        <x:v>0</x:v>
      </x:c>
      <x:c r="F107" t="n">
        <x:v>0</x:v>
      </x:c>
      <x:c r="G107" t="n">
        <x:v>1</x:v>
      </x:c>
      <x:c r="H107" t="str">
        <x:v>Pending</x:v>
      </x:c>
      <x:c r="I107" t="str">
        <x:v>NOT_ATTEMPTED</x:v>
      </x:c>
      <x:c r="J107" t="str">
        <x:v>NOT_ATTEMPTED</x:v>
      </x:c>
      <x:c r="K107" t="str">
        <x:v>gfn2</x:v>
      </x:c>
      <x:c r="L107" t="str">
        <x:v>off</x:v>
      </x:c>
      <x:c r="M107" s="26" t="n">
        <x:v>6</x:v>
      </x:c>
      <x:c r="N107" s="26" t="n">
        <x:v>0.125</x:v>
      </x:c>
      <x:c r="O107" t="n">
        <x:v>4</x:v>
      </x:c>
      <x:c r="P107" t="n">
        <x:v>10</x:v>
      </x:c>
      <x:c r="Q107"/>
      <x:c r="R107"/>
      <x:c r="S107"/>
      <x:c r="T107" s="26"/>
      <x:c r="U107" s="26" t="str">
        <x:f>IF(T107="","",T107*4.184)</x:f>
      </x:c>
      <x:c r="V107" s="26"/>
      <x:c r="W107" t="str"/>
      <x:c r="X107" t="str"/>
      <x:c r="Y107" t="str"/>
      <x:c r="Z107" s="26" t="n">
        <x:v>-241.83</x:v>
      </x:c>
      <x:c r="AA107" s="26" t="n">
        <x:v>-241.83</x:v>
      </x:c>
      <x:c r="AB107" s="26" t="n">
        <x:v>-241.83</x:v>
      </x:c>
      <x:c r="AC107" s="26" t="n">
        <x:v>-241.83</x:v>
      </x:c>
      <x:c r="AD107" s="26" t="n">
        <x:v>-241.83</x:v>
      </x:c>
      <x:c r="AE107" s="26" t="str"/>
      <x:c r="AF107" s="26" t="str"/>
      <x:c r="AG107" s="26"/>
      <x:c r="AH107" s="26"/>
    </x:row>
    <x:row r="108">
      <x:c r="A108" t="str">
        <x:v>cbt_035</x:v>
      </x:c>
      <x:c r="B108" t="str">
        <x:v>Water</x:v>
      </x:c>
      <x:c r="C108" t="str">
        <x:v>O</x:v>
      </x:c>
      <x:c r="D108" t="str">
        <x:v>PM3</x:v>
      </x:c>
      <x:c r="E108" s="28" t="b">
        <x:v>0</x:v>
      </x:c>
      <x:c r="F108" t="n">
        <x:v>0</x:v>
      </x:c>
      <x:c r="G108" t="n">
        <x:v>1</x:v>
      </x:c>
      <x:c r="H108" t="str">
        <x:v>Pending</x:v>
      </x:c>
      <x:c r="I108" t="str">
        <x:v>NOT_ATTEMPTED</x:v>
      </x:c>
      <x:c r="J108" t="str">
        <x:v>NOT_ATTEMPTED</x:v>
      </x:c>
      <x:c r="K108" t="str">
        <x:v>gfn2</x:v>
      </x:c>
      <x:c r="L108" t="str">
        <x:v>off</x:v>
      </x:c>
      <x:c r="M108" s="26" t="n">
        <x:v>6</x:v>
      </x:c>
      <x:c r="N108" s="26" t="n">
        <x:v>0.125</x:v>
      </x:c>
      <x:c r="O108" t="n">
        <x:v>4</x:v>
      </x:c>
      <x:c r="P108" t="n">
        <x:v>10</x:v>
      </x:c>
      <x:c r="Q108"/>
      <x:c r="R108"/>
      <x:c r="S108"/>
      <x:c r="T108" s="26"/>
      <x:c r="U108" s="26" t="str">
        <x:f>IF(T108="","",T108*4.184)</x:f>
      </x:c>
      <x:c r="V108" s="26"/>
      <x:c r="W108" t="str"/>
      <x:c r="X108" t="str"/>
      <x:c r="Y108" t="str"/>
      <x:c r="Z108" s="26" t="n">
        <x:v>-241.83</x:v>
      </x:c>
      <x:c r="AA108" s="26" t="n">
        <x:v>-241.83</x:v>
      </x:c>
      <x:c r="AB108" s="26" t="n">
        <x:v>-241.83</x:v>
      </x:c>
      <x:c r="AC108" s="26" t="n">
        <x:v>-241.83</x:v>
      </x:c>
      <x:c r="AD108" s="26" t="n">
        <x:v>-241.83</x:v>
      </x:c>
      <x:c r="AE108" s="26" t="str"/>
      <x:c r="AF108" s="26" t="str"/>
      <x:c r="AG108" s="26"/>
      <x:c r="AH108" s="26"/>
    </x:row>
    <x:row r="109">
      <x:c r="A109" t="str">
        <x:v>cbt_035</x:v>
      </x:c>
      <x:c r="B109" t="str">
        <x:v>Water</x:v>
      </x:c>
      <x:c r="C109" t="str">
        <x:v>O</x:v>
      </x:c>
      <x:c r="D109" t="str">
        <x:v>PM7</x:v>
      </x:c>
      <x:c r="E109" s="28" t="b">
        <x:v>0</x:v>
      </x:c>
      <x:c r="F109" t="n">
        <x:v>0</x:v>
      </x:c>
      <x:c r="G109" t="n">
        <x:v>1</x:v>
      </x:c>
      <x:c r="H109" t="str">
        <x:v>Pending</x:v>
      </x:c>
      <x:c r="I109" t="str">
        <x:v>NOT_ATTEMPTED</x:v>
      </x:c>
      <x:c r="J109" t="str">
        <x:v>NOT_ATTEMPTED</x:v>
      </x:c>
      <x:c r="K109" t="str">
        <x:v>gfn2</x:v>
      </x:c>
      <x:c r="L109" t="str">
        <x:v>off</x:v>
      </x:c>
      <x:c r="M109" s="26" t="n">
        <x:v>6</x:v>
      </x:c>
      <x:c r="N109" s="26" t="n">
        <x:v>0.125</x:v>
      </x:c>
      <x:c r="O109" t="n">
        <x:v>4</x:v>
      </x:c>
      <x:c r="P109" t="n">
        <x:v>10</x:v>
      </x:c>
      <x:c r="Q109"/>
      <x:c r="R109"/>
      <x:c r="S109"/>
      <x:c r="T109" s="26"/>
      <x:c r="U109" s="26" t="str">
        <x:f>IF(T109="","",T109*4.184)</x:f>
      </x:c>
      <x:c r="V109" s="26"/>
      <x:c r="W109" t="str"/>
      <x:c r="X109" t="str"/>
      <x:c r="Y109" t="str"/>
      <x:c r="Z109" s="26" t="n">
        <x:v>-241.83</x:v>
      </x:c>
      <x:c r="AA109" s="26" t="n">
        <x:v>-241.83</x:v>
      </x:c>
      <x:c r="AB109" s="26" t="n">
        <x:v>-241.83</x:v>
      </x:c>
      <x:c r="AC109" s="26" t="n">
        <x:v>-241.83</x:v>
      </x:c>
      <x:c r="AD109" s="26" t="n">
        <x:v>-241.83</x:v>
      </x:c>
      <x:c r="AE109" s="26" t="str"/>
      <x:c r="AF109" s="26" t="str"/>
      <x:c r="AG109" s="26"/>
      <x:c r="AH109" s="26"/>
    </x:row>
  </x:sheetData>
  <x:mergeCells>
    <x:mergeCell ref="A1:AH1"/>
    <x:mergeCell ref="A2:AH2"/>
  </x:mergeCells>
  <x:dataValidations count="4">
    <x:dataValidation type="list" sqref="H5:H109">
      <x:formula1>"Pending,Running,OK,Rerun,Skip,Failed"</x:formula1>
    </x:dataValidation>
    <x:dataValidation type="list" sqref="J5:J109">
      <x:formula1>"NOT_ATTEMPTED,SUCCESS,OK,TIMEOUT,SCF_FAILED,GEOMETRY_ERROR,ERROR,FAILED"</x:formula1>
    </x:dataValidation>
    <x:dataValidation type="list" sqref="K5:K109">
      <x:formula1>"gfn2,gfnff,gfn2//gfnff"</x:formula1>
    </x:dataValidation>
    <x:dataValidation type="list" sqref="L5:L109">
      <x:formula1>"off,quick,squick,mquick"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16" hidden="0" customWidth="1"/>
    <x:col min="5" max="5" width="15" hidden="0" customWidth="1"/>
    <x:col min="6" max="6" width="14" hidden="0" customWidth="1"/>
    <x:col min="7" max="7" width="14" hidden="0" customWidth="1"/>
    <x:col min="8" max="8" width="14" hidden="0" customWidth="1"/>
    <x:col min="9" max="9" width="22" hidden="0" customWidth="1"/>
    <x:col min="10" max="10" width="20" hidden="0" customWidth="1"/>
    <x:col min="11" max="11" width="20" hidden="0" customWidth="1"/>
    <x:col min="12" max="12" width="20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40" hidden="0" customWidth="1"/>
  </x:cols>
  <x:sheetData>
    <x:row r="1">
      <x:c r="A1" s="4" t="str">
        <x:v>Resultados de entalpia de formação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</x:row>
    <x:row r="2">
      <x:c r="A2" s="10" t="str">
        <x:v>Aba de comparação: contribuição de grupos, VEGA+MOPAC do TCC e novos resultados CREST+MOPAC.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</x:row>
    <x:row r="4">
      <x:c r="A4" s="18" t="str">
        <x:v>mol_id</x:v>
      </x:c>
      <x:c r="B4" s="18" t="str">
        <x:v>molecule</x:v>
      </x:c>
      <x:c r="C4" s="18" t="str">
        <x:v>smiles</x:v>
      </x:c>
      <x:c r="D4" s="18" t="str">
        <x:v>group</x:v>
      </x:c>
      <x:c r="E4" s="18" t="str">
        <x:v>Hf_exp_kJmol</x:v>
      </x:c>
      <x:c r="F4" s="18" t="str">
        <x:v>Hf_JR_kJmol</x:v>
      </x:c>
      <x:c r="G4" s="18" t="str">
        <x:v>Hf_CG_kJmol</x:v>
      </x:c>
      <x:c r="H4" s="18" t="str">
        <x:v>Hf_MG_kJmol</x:v>
      </x:c>
      <x:c r="I4" s="18" t="str">
        <x:v>Hf_PM7_TCC_VEGA_MOPAC_kJmol</x:v>
      </x:c>
      <x:c r="J4" s="18" t="str">
        <x:v>Hf_AM1_CREST_MOPAC_kJmol</x:v>
      </x:c>
      <x:c r="K4" s="18" t="str">
        <x:v>Hf_PM3_CREST_MOPAC_kJmol</x:v>
      </x:c>
      <x:c r="L4" s="18" t="str">
        <x:v>Hf_PM7_CREST_MOPAC_kJmol</x:v>
      </x:c>
      <x:c r="M4" s="18" t="str">
        <x:v>AD_AM1_CREST</x:v>
      </x:c>
      <x:c r="N4" s="18" t="str">
        <x:v>RD_AM1_CREST_%</x:v>
      </x:c>
      <x:c r="O4" s="18" t="str">
        <x:v>AD_PM3_CREST</x:v>
      </x:c>
      <x:c r="P4" s="18" t="str">
        <x:v>RD_PM3_CREST_%</x:v>
      </x:c>
      <x:c r="Q4" s="18" t="str">
        <x:v>AD_PM7_CREST</x:v>
      </x:c>
      <x:c r="R4" s="18" t="str">
        <x:v>RD_PM7_CREST_%</x:v>
      </x:c>
      <x:c r="S4" s="18" t="str">
        <x:v>status_AM1</x:v>
      </x:c>
      <x:c r="T4" s="18" t="str">
        <x:v>status_PM3</x:v>
      </x:c>
      <x:c r="U4" s="18" t="str">
        <x:v>status_PM7</x:v>
      </x:c>
      <x:c r="V4" s="18" t="str">
        <x:v>comentario</x:v>
      </x:c>
      <x:c r="W4" s="24"/>
      <x:c r="X4" s="24"/>
      <x:c r="Y4" s="24"/>
      <x:c r="Z4" s="24"/>
      <x:c r="AA4" s="24"/>
      <x:c r="AB4" s="24"/>
      <x:c r="AC4" s="24"/>
      <x:c r="AD4" s="24"/>
      <x:c r="AE4" s="24"/>
      <x:c r="AF4" s="24"/>
      <x:c r="AG4" s="24"/>
      <x:c r="AH4" s="24"/>
    </x:row>
    <x:row r="5">
      <x:c r="A5" t="str">
        <x:v>cbt_001</x:v>
      </x:c>
      <x:c r="B5" t="str">
        <x:v>Acetic acid</x:v>
      </x:c>
      <x:c r="C5" t="str">
        <x:v>CC(=O)O</x:v>
      </x:c>
      <x:c r="D5" t="str">
        <x:v>Acids</x:v>
      </x:c>
      <x:c r="E5" s="26" t="n">
        <x:v>-432.2</x:v>
      </x:c>
      <x:c r="F5" s="26" t="n">
        <x:v>-434.88</x:v>
      </x:c>
      <x:c r="G5" s="26" t="n">
        <x:v>-431.35400000000004</x:v>
      </x:c>
      <x:c r="H5" s="26" t="n">
        <x:v>-426.861</x:v>
      </x:c>
      <x:c r="I5" s="26" t="n">
        <x:v>-427.79466</x:v>
      </x:c>
      <x:c r="J5" s="26" t="n">
        <x:f>IF(COUNTIFS('02_pipeline_grimperium_mini'!$A:$A,$A5,'02_pipeline_grimperium_mini'!$D:$D,"AM1",'02_pipeline_grimperium_mini'!$U:$U,"&lt;&gt;")=0,"",SUMIFS('02_pipeline_grimperium_mini'!$U:$U,'02_pipeline_grimperium_mini'!$A:$A,$A5,'02_pipeline_grimperium_mini'!$D:$D,"AM1"))</x:f>
        <x:v>0</x:v>
      </x:c>
      <x:c r="K5" s="26" t="n">
        <x:f>IF(COUNTIFS('02_pipeline_grimperium_mini'!$A:$A,$A5,'02_pipeline_grimperium_mini'!$D:$D,"PM3",'02_pipeline_grimperium_mini'!$U:$U,"&lt;&gt;")=0,"",SUMIFS('02_pipeline_grimperium_mini'!$U:$U,'02_pipeline_grimperium_mini'!$A:$A,$A5,'02_pipeline_grimperium_mini'!$D:$D,"PM3"))</x:f>
        <x:v>0</x:v>
      </x:c>
      <x:c r="L5" s="26" t="n">
        <x:f>IF(COUNTIFS('02_pipeline_grimperium_mini'!$A:$A,$A5,'02_pipeline_grimperium_mini'!$D:$D,"PM7",'02_pipeline_grimperium_mini'!$U:$U,"&lt;&gt;")=0,"",SUMIFS('02_pipeline_grimperium_mini'!$U:$U,'02_pipeline_grimperium_mini'!$A:$A,$A5,'02_pipeline_grimperium_mini'!$D:$D,"PM7"))</x:f>
        <x:v>0</x:v>
      </x:c>
      <x:c r="M5" s="26" t="str">
        <x:f>IF(J5="","",ABS(J5-$E5))</x:f>
      </x:c>
      <x:c r="N5" s="30" t="str">
        <x:f>IF(J5="","",ABS(J5-$E5)/ABS($E5))</x:f>
      </x:c>
      <x:c r="O5" s="26" t="str">
        <x:f>IF(K5="","",ABS(K5-$E5))</x:f>
      </x:c>
      <x:c r="P5" s="30" t="str">
        <x:f>IF(K5="","",ABS(K5-$E5)/ABS($E5))</x:f>
      </x:c>
      <x:c r="Q5" s="26" t="str">
        <x:f>IF(L5="","",ABS(L5-$E5))</x:f>
      </x:c>
      <x:c r="R5" s="30" t="str">
        <x:f>IF(L5="","",ABS(L5-$E5)/ABS($E5))</x:f>
      </x:c>
      <x:c r="S5" t="str">
        <x:f>IFERROR(INDEX('02_pipeline_grimperium_mini'!$H:$H,MATCH(1,('02_pipeline_grimperium_mini'!$A:$A=$A5)*('02_pipeline_grimperium_mini'!$D:$D="AM1"),0)),"")</x:f>
      </x:c>
      <x:c r="T5" t="str">
        <x:f>IFERROR(INDEX('02_pipeline_grimperium_mini'!$H:$H,MATCH(1,('02_pipeline_grimperium_mini'!$A:$A=$A5)*('02_pipeline_grimperium_mini'!$D:$D="PM3"),0)),"")</x:f>
      </x:c>
      <x:c r="U5" t="str">
        <x:f>IFERROR(INDEX('02_pipeline_grimperium_mini'!$H:$H,MATCH(1,('02_pipeline_grimperium_mini'!$A:$A=$A5)*('02_pipeline_grimperium_mini'!$D:$D="PM7"),0)),"")</x:f>
      </x:c>
      <x:c r="V5" t="str"/>
    </x:row>
    <x:row r="6">
      <x:c r="A6" t="str">
        <x:v>cbt_002</x:v>
      </x:c>
      <x:c r="B6" t="str">
        <x:v>Propanoic acid</x:v>
      </x:c>
      <x:c r="C6" t="str">
        <x:v>CCC(=O)O</x:v>
      </x:c>
      <x:c r="D6" t="str">
        <x:v>Acids</x:v>
      </x:c>
      <x:c r="E6" s="26" t="n">
        <x:v>-455.7</x:v>
      </x:c>
      <x:c r="F6" s="26" t="n">
        <x:v>-455.52000000000004</x:v>
      </x:c>
      <x:c r="G6" s="26" t="n">
        <x:v>-452.117</x:v>
      </x:c>
      <x:c r="H6" s="26" t="n">
        <x:v>-447.69</x:v>
      </x:c>
      <x:c r="I6" s="26" t="n">
        <x:v>-446.53103</x:v>
      </x:c>
      <x:c r="J6" s="26" t="n">
        <x:f>IF(COUNTIFS('02_pipeline_grimperium_mini'!$A:$A,$A6,'02_pipeline_grimperium_mini'!$D:$D,"AM1",'02_pipeline_grimperium_mini'!$U:$U,"&lt;&gt;")=0,"",SUMIFS('02_pipeline_grimperium_mini'!$U:$U,'02_pipeline_grimperium_mini'!$A:$A,$A6,'02_pipeline_grimperium_mini'!$D:$D,"AM1"))</x:f>
        <x:v>0</x:v>
      </x:c>
      <x:c r="K6" s="26" t="n">
        <x:f>IF(COUNTIFS('02_pipeline_grimperium_mini'!$A:$A,$A6,'02_pipeline_grimperium_mini'!$D:$D,"PM3",'02_pipeline_grimperium_mini'!$U:$U,"&lt;&gt;")=0,"",SUMIFS('02_pipeline_grimperium_mini'!$U:$U,'02_pipeline_grimperium_mini'!$A:$A,$A6,'02_pipeline_grimperium_mini'!$D:$D,"PM3"))</x:f>
        <x:v>0</x:v>
      </x:c>
      <x:c r="L6" s="26" t="n">
        <x:f>IF(COUNTIFS('02_pipeline_grimperium_mini'!$A:$A,$A6,'02_pipeline_grimperium_mini'!$D:$D,"PM7",'02_pipeline_grimperium_mini'!$U:$U,"&lt;&gt;")=0,"",SUMIFS('02_pipeline_grimperium_mini'!$U:$U,'02_pipeline_grimperium_mini'!$A:$A,$A6,'02_pipeline_grimperium_mini'!$D:$D,"PM7"))</x:f>
        <x:v>0</x:v>
      </x:c>
      <x:c r="M6" s="26" t="str">
        <x:f>IF(J6="","",ABS(J6-$E6))</x:f>
      </x:c>
      <x:c r="N6" s="30" t="str">
        <x:f>IF(J6="","",ABS(J6-$E6)/ABS($E6))</x:f>
      </x:c>
      <x:c r="O6" s="26" t="str">
        <x:f>IF(K6="","",ABS(K6-$E6))</x:f>
      </x:c>
      <x:c r="P6" s="30" t="str">
        <x:f>IF(K6="","",ABS(K6-$E6)/ABS($E6))</x:f>
      </x:c>
      <x:c r="Q6" s="26" t="str">
        <x:f>IF(L6="","",ABS(L6-$E6))</x:f>
      </x:c>
      <x:c r="R6" s="30" t="str">
        <x:f>IF(L6="","",ABS(L6-$E6)/ABS($E6))</x:f>
      </x:c>
      <x:c r="S6" t="str">
        <x:f>IFERROR(INDEX('02_pipeline_grimperium_mini'!$H:$H,MATCH(1,('02_pipeline_grimperium_mini'!$A:$A=$A6)*('02_pipeline_grimperium_mini'!$D:$D="AM1"),0)),"")</x:f>
      </x:c>
      <x:c r="T6" t="str">
        <x:f>IFERROR(INDEX('02_pipeline_grimperium_mini'!$H:$H,MATCH(1,('02_pipeline_grimperium_mini'!$A:$A=$A6)*('02_pipeline_grimperium_mini'!$D:$D="PM3"),0)),"")</x:f>
      </x:c>
      <x:c r="U6" t="str">
        <x:f>IFERROR(INDEX('02_pipeline_grimperium_mini'!$H:$H,MATCH(1,('02_pipeline_grimperium_mini'!$A:$A=$A6)*('02_pipeline_grimperium_mini'!$D:$D="PM7"),0)),"")</x:f>
      </x:c>
      <x:c r="V6" t="str"/>
    </x:row>
    <x:row r="7">
      <x:c r="A7" t="str">
        <x:v>cbt_003</x:v>
      </x:c>
      <x:c r="B7" t="str">
        <x:v>Butyric acid</x:v>
      </x:c>
      <x:c r="C7" t="str">
        <x:v>CCCC(=O)O</x:v>
      </x:c>
      <x:c r="D7" t="str">
        <x:v>Acids</x:v>
      </x:c>
      <x:c r="E7" s="26" t="n">
        <x:v>-475.8</x:v>
      </x:c>
      <x:c r="F7" s="26" t="n">
        <x:v>-476.16</x:v>
      </x:c>
      <x:c r="G7" s="26" t="n">
        <x:v>-472.88000000000005</x:v>
      </x:c>
      <x:c r="H7" s="26" t="n">
        <x:v>-468.519</x:v>
      </x:c>
      <x:c r="I7" s="26" t="n">
        <x:v>-468.50627</x:v>
      </x:c>
      <x:c r="J7" s="26" t="n">
        <x:f>IF(COUNTIFS('02_pipeline_grimperium_mini'!$A:$A,$A7,'02_pipeline_grimperium_mini'!$D:$D,"AM1",'02_pipeline_grimperium_mini'!$U:$U,"&lt;&gt;")=0,"",SUMIFS('02_pipeline_grimperium_mini'!$U:$U,'02_pipeline_grimperium_mini'!$A:$A,$A7,'02_pipeline_grimperium_mini'!$D:$D,"AM1"))</x:f>
        <x:v>0</x:v>
      </x:c>
      <x:c r="K7" s="26" t="n">
        <x:f>IF(COUNTIFS('02_pipeline_grimperium_mini'!$A:$A,$A7,'02_pipeline_grimperium_mini'!$D:$D,"PM3",'02_pipeline_grimperium_mini'!$U:$U,"&lt;&gt;")=0,"",SUMIFS('02_pipeline_grimperium_mini'!$U:$U,'02_pipeline_grimperium_mini'!$A:$A,$A7,'02_pipeline_grimperium_mini'!$D:$D,"PM3"))</x:f>
        <x:v>0</x:v>
      </x:c>
      <x:c r="L7" s="26" t="n">
        <x:f>IF(COUNTIFS('02_pipeline_grimperium_mini'!$A:$A,$A7,'02_pipeline_grimperium_mini'!$D:$D,"PM7",'02_pipeline_grimperium_mini'!$U:$U,"&lt;&gt;")=0,"",SUMIFS('02_pipeline_grimperium_mini'!$U:$U,'02_pipeline_grimperium_mini'!$A:$A,$A7,'02_pipeline_grimperium_mini'!$D:$D,"PM7"))</x:f>
        <x:v>0</x:v>
      </x:c>
      <x:c r="M7" s="26" t="str">
        <x:f>IF(J7="","",ABS(J7-$E7))</x:f>
      </x:c>
      <x:c r="N7" s="30" t="str">
        <x:f>IF(J7="","",ABS(J7-$E7)/ABS($E7))</x:f>
      </x:c>
      <x:c r="O7" s="26" t="str">
        <x:f>IF(K7="","",ABS(K7-$E7))</x:f>
      </x:c>
      <x:c r="P7" s="30" t="str">
        <x:f>IF(K7="","",ABS(K7-$E7)/ABS($E7))</x:f>
      </x:c>
      <x:c r="Q7" s="26" t="str">
        <x:f>IF(L7="","",ABS(L7-$E7))</x:f>
      </x:c>
      <x:c r="R7" s="30" t="str">
        <x:f>IF(L7="","",ABS(L7-$E7)/ABS($E7))</x:f>
      </x:c>
      <x:c r="S7" t="str">
        <x:f>IFERROR(INDEX('02_pipeline_grimperium_mini'!$H:$H,MATCH(1,('02_pipeline_grimperium_mini'!$A:$A=$A7)*('02_pipeline_grimperium_mini'!$D:$D="AM1"),0)),"")</x:f>
      </x:c>
      <x:c r="T7" t="str">
        <x:f>IFERROR(INDEX('02_pipeline_grimperium_mini'!$H:$H,MATCH(1,('02_pipeline_grimperium_mini'!$A:$A=$A7)*('02_pipeline_grimperium_mini'!$D:$D="PM3"),0)),"")</x:f>
      </x:c>
      <x:c r="U7" t="str">
        <x:f>IFERROR(INDEX('02_pipeline_grimperium_mini'!$H:$H,MATCH(1,('02_pipeline_grimperium_mini'!$A:$A=$A7)*('02_pipeline_grimperium_mini'!$D:$D="PM7"),0)),"")</x:f>
      </x:c>
      <x:c r="V7" t="str"/>
    </x:row>
    <x:row r="8">
      <x:c r="A8" t="str">
        <x:v>cbt_004</x:v>
      </x:c>
      <x:c r="B8" t="str">
        <x:v>Pentanoic acid</x:v>
      </x:c>
      <x:c r="C8" t="str">
        <x:v>CCCCC(=O)O</x:v>
      </x:c>
      <x:c r="D8" t="str">
        <x:v>Acids</x:v>
      </x:c>
      <x:c r="E8" s="26" t="n">
        <x:v>-491.3</x:v>
      </x:c>
      <x:c r="F8" s="26" t="n">
        <x:v>-496.8</x:v>
      </x:c>
      <x:c r="G8" s="26" t="n">
        <x:v>-493.64300000000003</x:v>
      </x:c>
      <x:c r="H8" s="26" t="n">
        <x:v>-489.348</x:v>
      </x:c>
      <x:c r="I8" s="26" t="n">
        <x:v>-489.3534</x:v>
      </x:c>
      <x:c r="J8" s="26" t="n">
        <x:f>IF(COUNTIFS('02_pipeline_grimperium_mini'!$A:$A,$A8,'02_pipeline_grimperium_mini'!$D:$D,"AM1",'02_pipeline_grimperium_mini'!$U:$U,"&lt;&gt;")=0,"",SUMIFS('02_pipeline_grimperium_mini'!$U:$U,'02_pipeline_grimperium_mini'!$A:$A,$A8,'02_pipeline_grimperium_mini'!$D:$D,"AM1"))</x:f>
        <x:v>0</x:v>
      </x:c>
      <x:c r="K8" s="26" t="n">
        <x:f>IF(COUNTIFS('02_pipeline_grimperium_mini'!$A:$A,$A8,'02_pipeline_grimperium_mini'!$D:$D,"PM3",'02_pipeline_grimperium_mini'!$U:$U,"&lt;&gt;")=0,"",SUMIFS('02_pipeline_grimperium_mini'!$U:$U,'02_pipeline_grimperium_mini'!$A:$A,$A8,'02_pipeline_grimperium_mini'!$D:$D,"PM3"))</x:f>
        <x:v>0</x:v>
      </x:c>
      <x:c r="L8" s="26" t="n">
        <x:f>IF(COUNTIFS('02_pipeline_grimperium_mini'!$A:$A,$A8,'02_pipeline_grimperium_mini'!$D:$D,"PM7",'02_pipeline_grimperium_mini'!$U:$U,"&lt;&gt;")=0,"",SUMIFS('02_pipeline_grimperium_mini'!$U:$U,'02_pipeline_grimperium_mini'!$A:$A,$A8,'02_pipeline_grimperium_mini'!$D:$D,"PM7"))</x:f>
        <x:v>0</x:v>
      </x:c>
      <x:c r="M8" s="26" t="str">
        <x:f>IF(J8="","",ABS(J8-$E8))</x:f>
      </x:c>
      <x:c r="N8" s="30" t="str">
        <x:f>IF(J8="","",ABS(J8-$E8)/ABS($E8))</x:f>
      </x:c>
      <x:c r="O8" s="26" t="str">
        <x:f>IF(K8="","",ABS(K8-$E8))</x:f>
      </x:c>
      <x:c r="P8" s="30" t="str">
        <x:f>IF(K8="","",ABS(K8-$E8)/ABS($E8))</x:f>
      </x:c>
      <x:c r="Q8" s="26" t="str">
        <x:f>IF(L8="","",ABS(L8-$E8))</x:f>
      </x:c>
      <x:c r="R8" s="30" t="str">
        <x:f>IF(L8="","",ABS(L8-$E8)/ABS($E8))</x:f>
      </x:c>
      <x:c r="S8" t="str">
        <x:f>IFERROR(INDEX('02_pipeline_grimperium_mini'!$H:$H,MATCH(1,('02_pipeline_grimperium_mini'!$A:$A=$A8)*('02_pipeline_grimperium_mini'!$D:$D="AM1"),0)),"")</x:f>
      </x:c>
      <x:c r="T8" t="str">
        <x:f>IFERROR(INDEX('02_pipeline_grimperium_mini'!$H:$H,MATCH(1,('02_pipeline_grimperium_mini'!$A:$A=$A8)*('02_pipeline_grimperium_mini'!$D:$D="PM3"),0)),"")</x:f>
      </x:c>
      <x:c r="U8" t="str">
        <x:f>IFERROR(INDEX('02_pipeline_grimperium_mini'!$H:$H,MATCH(1,('02_pipeline_grimperium_mini'!$A:$A=$A8)*('02_pipeline_grimperium_mini'!$D:$D="PM7"),0)),"")</x:f>
      </x:c>
      <x:c r="V8" t="str"/>
    </x:row>
    <x:row r="9">
      <x:c r="A9" t="str">
        <x:v>cbt_005</x:v>
      </x:c>
      <x:c r="B9" t="str">
        <x:v>Hexanoic acid</x:v>
      </x:c>
      <x:c r="C9" t="str">
        <x:v>CCCCCC(=O)O</x:v>
      </x:c>
      <x:c r="D9" t="str">
        <x:v>Acids</x:v>
      </x:c>
      <x:c r="E9" s="26" t="n">
        <x:v>-511.9</x:v>
      </x:c>
      <x:c r="F9" s="26" t="n">
        <x:v>-517.44</x:v>
      </x:c>
      <x:c r="G9" s="26" t="n">
        <x:v>-514.406</x:v>
      </x:c>
      <x:c r="H9" s="26" t="n">
        <x:v>-510.177</x:v>
      </x:c>
      <x:c r="I9" s="26" t="n">
        <x:v>-510.9457</x:v>
      </x:c>
      <x:c r="J9" s="26" t="n">
        <x:f>IF(COUNTIFS('02_pipeline_grimperium_mini'!$A:$A,$A9,'02_pipeline_grimperium_mini'!$D:$D,"AM1",'02_pipeline_grimperium_mini'!$U:$U,"&lt;&gt;")=0,"",SUMIFS('02_pipeline_grimperium_mini'!$U:$U,'02_pipeline_grimperium_mini'!$A:$A,$A9,'02_pipeline_grimperium_mini'!$D:$D,"AM1"))</x:f>
        <x:v>0</x:v>
      </x:c>
      <x:c r="K9" s="26" t="n">
        <x:f>IF(COUNTIFS('02_pipeline_grimperium_mini'!$A:$A,$A9,'02_pipeline_grimperium_mini'!$D:$D,"PM3",'02_pipeline_grimperium_mini'!$U:$U,"&lt;&gt;")=0,"",SUMIFS('02_pipeline_grimperium_mini'!$U:$U,'02_pipeline_grimperium_mini'!$A:$A,$A9,'02_pipeline_grimperium_mini'!$D:$D,"PM3"))</x:f>
        <x:v>0</x:v>
      </x:c>
      <x:c r="L9" s="26" t="n">
        <x:f>IF(COUNTIFS('02_pipeline_grimperium_mini'!$A:$A,$A9,'02_pipeline_grimperium_mini'!$D:$D,"PM7",'02_pipeline_grimperium_mini'!$U:$U,"&lt;&gt;")=0,"",SUMIFS('02_pipeline_grimperium_mini'!$U:$U,'02_pipeline_grimperium_mini'!$A:$A,$A9,'02_pipeline_grimperium_mini'!$D:$D,"PM7"))</x:f>
        <x:v>0</x:v>
      </x:c>
      <x:c r="M9" s="26" t="str">
        <x:f>IF(J9="","",ABS(J9-$E9))</x:f>
      </x:c>
      <x:c r="N9" s="30" t="str">
        <x:f>IF(J9="","",ABS(J9-$E9)/ABS($E9))</x:f>
      </x:c>
      <x:c r="O9" s="26" t="str">
        <x:f>IF(K9="","",ABS(K9-$E9))</x:f>
      </x:c>
      <x:c r="P9" s="30" t="str">
        <x:f>IF(K9="","",ABS(K9-$E9)/ABS($E9))</x:f>
      </x:c>
      <x:c r="Q9" s="26" t="str">
        <x:f>IF(L9="","",ABS(L9-$E9))</x:f>
      </x:c>
      <x:c r="R9" s="30" t="str">
        <x:f>IF(L9="","",ABS(L9-$E9)/ABS($E9))</x:f>
      </x:c>
      <x:c r="S9" t="str">
        <x:f>IFERROR(INDEX('02_pipeline_grimperium_mini'!$H:$H,MATCH(1,('02_pipeline_grimperium_mini'!$A:$A=$A9)*('02_pipeline_grimperium_mini'!$D:$D="AM1"),0)),"")</x:f>
      </x:c>
      <x:c r="T9" t="str">
        <x:f>IFERROR(INDEX('02_pipeline_grimperium_mini'!$H:$H,MATCH(1,('02_pipeline_grimperium_mini'!$A:$A=$A9)*('02_pipeline_grimperium_mini'!$D:$D="PM3"),0)),"")</x:f>
      </x:c>
      <x:c r="U9" t="str">
        <x:f>IFERROR(INDEX('02_pipeline_grimperium_mini'!$H:$H,MATCH(1,('02_pipeline_grimperium_mini'!$A:$A=$A9)*('02_pipeline_grimperium_mini'!$D:$D="PM7"),0)),"")</x:f>
      </x:c>
      <x:c r="V9" t="str"/>
    </x:row>
    <x:row r="10">
      <x:c r="A10" t="str">
        <x:v>cbt_006</x:v>
      </x:c>
      <x:c r="B10" t="str">
        <x:v>Heptanoic acid</x:v>
      </x:c>
      <x:c r="C10" t="str">
        <x:v>CCCCCCC(=O)O</x:v>
      </x:c>
      <x:c r="D10" t="str">
        <x:v>Acids</x:v>
      </x:c>
      <x:c r="E10" s="26" t="n">
        <x:v>-536.2</x:v>
      </x:c>
      <x:c r="F10" s="26" t="n">
        <x:v>-538.08</x:v>
      </x:c>
      <x:c r="G10" s="26" t="n">
        <x:v>-535.169</x:v>
      </x:c>
      <x:c r="H10" s="26" t="n">
        <x:v>-531.0060000000001</x:v>
      </x:c>
      <x:c r="I10" s="26" t="n">
        <x:v>-532.2823</x:v>
      </x:c>
      <x:c r="J10" s="26" t="n">
        <x:f>IF(COUNTIFS('02_pipeline_grimperium_mini'!$A:$A,$A10,'02_pipeline_grimperium_mini'!$D:$D,"AM1",'02_pipeline_grimperium_mini'!$U:$U,"&lt;&gt;")=0,"",SUMIFS('02_pipeline_grimperium_mini'!$U:$U,'02_pipeline_grimperium_mini'!$A:$A,$A10,'02_pipeline_grimperium_mini'!$D:$D,"AM1"))</x:f>
        <x:v>0</x:v>
      </x:c>
      <x:c r="K10" s="26" t="n">
        <x:f>IF(COUNTIFS('02_pipeline_grimperium_mini'!$A:$A,$A10,'02_pipeline_grimperium_mini'!$D:$D,"PM3",'02_pipeline_grimperium_mini'!$U:$U,"&lt;&gt;")=0,"",SUMIFS('02_pipeline_grimperium_mini'!$U:$U,'02_pipeline_grimperium_mini'!$A:$A,$A10,'02_pipeline_grimperium_mini'!$D:$D,"PM3"))</x:f>
        <x:v>0</x:v>
      </x:c>
      <x:c r="L10" s="26" t="n">
        <x:f>IF(COUNTIFS('02_pipeline_grimperium_mini'!$A:$A,$A10,'02_pipeline_grimperium_mini'!$D:$D,"PM7",'02_pipeline_grimperium_mini'!$U:$U,"&lt;&gt;")=0,"",SUMIFS('02_pipeline_grimperium_mini'!$U:$U,'02_pipeline_grimperium_mini'!$A:$A,$A10,'02_pipeline_grimperium_mini'!$D:$D,"PM7"))</x:f>
        <x:v>0</x:v>
      </x:c>
      <x:c r="M10" s="26" t="str">
        <x:f>IF(J10="","",ABS(J10-$E10))</x:f>
      </x:c>
      <x:c r="N10" s="30" t="str">
        <x:f>IF(J10="","",ABS(J10-$E10)/ABS($E10))</x:f>
      </x:c>
      <x:c r="O10" s="26" t="str">
        <x:f>IF(K10="","",ABS(K10-$E10))</x:f>
      </x:c>
      <x:c r="P10" s="30" t="str">
        <x:f>IF(K10="","",ABS(K10-$E10)/ABS($E10))</x:f>
      </x:c>
      <x:c r="Q10" s="26" t="str">
        <x:f>IF(L10="","",ABS(L10-$E10))</x:f>
      </x:c>
      <x:c r="R10" s="30" t="str">
        <x:f>IF(L10="","",ABS(L10-$E10)/ABS($E10))</x:f>
      </x:c>
      <x:c r="S10" t="str">
        <x:f>IFERROR(INDEX('02_pipeline_grimperium_mini'!$H:$H,MATCH(1,('02_pipeline_grimperium_mini'!$A:$A=$A10)*('02_pipeline_grimperium_mini'!$D:$D="AM1"),0)),"")</x:f>
      </x:c>
      <x:c r="T10" t="str">
        <x:f>IFERROR(INDEX('02_pipeline_grimperium_mini'!$H:$H,MATCH(1,('02_pipeline_grimperium_mini'!$A:$A=$A10)*('02_pipeline_grimperium_mini'!$D:$D="PM3"),0)),"")</x:f>
      </x:c>
      <x:c r="U10" t="str">
        <x:f>IFERROR(INDEX('02_pipeline_grimperium_mini'!$H:$H,MATCH(1,('02_pipeline_grimperium_mini'!$A:$A=$A10)*('02_pipeline_grimperium_mini'!$D:$D="PM7"),0)),"")</x:f>
      </x:c>
      <x:c r="V10" t="str"/>
    </x:row>
    <x:row r="11">
      <x:c r="A11" t="str">
        <x:v>cbt_007</x:v>
      </x:c>
      <x:c r="B11" t="str">
        <x:v>Octanoic acid</x:v>
      </x:c>
      <x:c r="C11" t="str">
        <x:v>CCCCCCCC(=O)O</x:v>
      </x:c>
      <x:c r="D11" t="str">
        <x:v>Acids</x:v>
      </x:c>
      <x:c r="E11" s="26" t="n">
        <x:v>-556</x:v>
      </x:c>
      <x:c r="F11" s="26" t="n">
        <x:v>-558.72</x:v>
      </x:c>
      <x:c r="G11" s="26" t="n">
        <x:v>-555.932</x:v>
      </x:c>
      <x:c r="H11" s="26" t="n">
        <x:v>-551.835</x:v>
      </x:c>
      <x:c r="I11" s="26" t="n">
        <x:v>-553.67659</x:v>
      </x:c>
      <x:c r="J11" s="26" t="n">
        <x:f>IF(COUNTIFS('02_pipeline_grimperium_mini'!$A:$A,$A11,'02_pipeline_grimperium_mini'!$D:$D,"AM1",'02_pipeline_grimperium_mini'!$U:$U,"&lt;&gt;")=0,"",SUMIFS('02_pipeline_grimperium_mini'!$U:$U,'02_pipeline_grimperium_mini'!$A:$A,$A11,'02_pipeline_grimperium_mini'!$D:$D,"AM1"))</x:f>
        <x:v>0</x:v>
      </x:c>
      <x:c r="K11" s="26" t="n">
        <x:f>IF(COUNTIFS('02_pipeline_grimperium_mini'!$A:$A,$A11,'02_pipeline_grimperium_mini'!$D:$D,"PM3",'02_pipeline_grimperium_mini'!$U:$U,"&lt;&gt;")=0,"",SUMIFS('02_pipeline_grimperium_mini'!$U:$U,'02_pipeline_grimperium_mini'!$A:$A,$A11,'02_pipeline_grimperium_mini'!$D:$D,"PM3"))</x:f>
        <x:v>0</x:v>
      </x:c>
      <x:c r="L11" s="26" t="n">
        <x:f>IF(COUNTIFS('02_pipeline_grimperium_mini'!$A:$A,$A11,'02_pipeline_grimperium_mini'!$D:$D,"PM7",'02_pipeline_grimperium_mini'!$U:$U,"&lt;&gt;")=0,"",SUMIFS('02_pipeline_grimperium_mini'!$U:$U,'02_pipeline_grimperium_mini'!$A:$A,$A11,'02_pipeline_grimperium_mini'!$D:$D,"PM7"))</x:f>
        <x:v>0</x:v>
      </x:c>
      <x:c r="M11" s="26" t="str">
        <x:f>IF(J11="","",ABS(J11-$E11))</x:f>
      </x:c>
      <x:c r="N11" s="30" t="str">
        <x:f>IF(J11="","",ABS(J11-$E11)/ABS($E11))</x:f>
      </x:c>
      <x:c r="O11" s="26" t="str">
        <x:f>IF(K11="","",ABS(K11-$E11))</x:f>
      </x:c>
      <x:c r="P11" s="30" t="str">
        <x:f>IF(K11="","",ABS(K11-$E11)/ABS($E11))</x:f>
      </x:c>
      <x:c r="Q11" s="26" t="str">
        <x:f>IF(L11="","",ABS(L11-$E11))</x:f>
      </x:c>
      <x:c r="R11" s="30" t="str">
        <x:f>IF(L11="","",ABS(L11-$E11)/ABS($E11))</x:f>
      </x:c>
      <x:c r="S11" t="str">
        <x:f>IFERROR(INDEX('02_pipeline_grimperium_mini'!$H:$H,MATCH(1,('02_pipeline_grimperium_mini'!$A:$A=$A11)*('02_pipeline_grimperium_mini'!$D:$D="AM1"),0)),"")</x:f>
      </x:c>
      <x:c r="T11" t="str">
        <x:f>IFERROR(INDEX('02_pipeline_grimperium_mini'!$H:$H,MATCH(1,('02_pipeline_grimperium_mini'!$A:$A=$A11)*('02_pipeline_grimperium_mini'!$D:$D="PM3"),0)),"")</x:f>
      </x:c>
      <x:c r="U11" t="str">
        <x:f>IFERROR(INDEX('02_pipeline_grimperium_mini'!$H:$H,MATCH(1,('02_pipeline_grimperium_mini'!$A:$A=$A11)*('02_pipeline_grimperium_mini'!$D:$D="PM7"),0)),"")</x:f>
      </x:c>
      <x:c r="V11" t="str"/>
    </x:row>
    <x:row r="12">
      <x:c r="A12" t="str">
        <x:v>cbt_008</x:v>
      </x:c>
      <x:c r="B12" t="str">
        <x:v>Dodecanoic acid</x:v>
      </x:c>
      <x:c r="C12" t="str">
        <x:v>CCCCCCCCCCCC(=O)O</x:v>
      </x:c>
      <x:c r="D12" t="str">
        <x:v>Acids</x:v>
      </x:c>
      <x:c r="E12" s="26" t="n">
        <x:v>-642</x:v>
      </x:c>
      <x:c r="F12" s="26" t="n">
        <x:v>-641.2800000000001</x:v>
      </x:c>
      <x:c r="G12" s="26" t="n">
        <x:v>-638.984</x:v>
      </x:c>
      <x:c r="H12" s="26" t="n">
        <x:v>-635.1510000000001</x:v>
      </x:c>
      <x:c r="I12" s="26" t="n">
        <x:v>-636.75846</x:v>
      </x:c>
      <x:c r="J12" s="26" t="n">
        <x:f>IF(COUNTIFS('02_pipeline_grimperium_mini'!$A:$A,$A12,'02_pipeline_grimperium_mini'!$D:$D,"AM1",'02_pipeline_grimperium_mini'!$U:$U,"&lt;&gt;")=0,"",SUMIFS('02_pipeline_grimperium_mini'!$U:$U,'02_pipeline_grimperium_mini'!$A:$A,$A12,'02_pipeline_grimperium_mini'!$D:$D,"AM1"))</x:f>
        <x:v>0</x:v>
      </x:c>
      <x:c r="K12" s="26" t="n">
        <x:f>IF(COUNTIFS('02_pipeline_grimperium_mini'!$A:$A,$A12,'02_pipeline_grimperium_mini'!$D:$D,"PM3",'02_pipeline_grimperium_mini'!$U:$U,"&lt;&gt;")=0,"",SUMIFS('02_pipeline_grimperium_mini'!$U:$U,'02_pipeline_grimperium_mini'!$A:$A,$A12,'02_pipeline_grimperium_mini'!$D:$D,"PM3"))</x:f>
        <x:v>0</x:v>
      </x:c>
      <x:c r="L12" s="26" t="n">
        <x:f>IF(COUNTIFS('02_pipeline_grimperium_mini'!$A:$A,$A12,'02_pipeline_grimperium_mini'!$D:$D,"PM7",'02_pipeline_grimperium_mini'!$U:$U,"&lt;&gt;")=0,"",SUMIFS('02_pipeline_grimperium_mini'!$U:$U,'02_pipeline_grimperium_mini'!$A:$A,$A12,'02_pipeline_grimperium_mini'!$D:$D,"PM7"))</x:f>
        <x:v>0</x:v>
      </x:c>
      <x:c r="M12" s="26" t="str">
        <x:f>IF(J12="","",ABS(J12-$E12))</x:f>
      </x:c>
      <x:c r="N12" s="30" t="str">
        <x:f>IF(J12="","",ABS(J12-$E12)/ABS($E12))</x:f>
      </x:c>
      <x:c r="O12" s="26" t="str">
        <x:f>IF(K12="","",ABS(K12-$E12))</x:f>
      </x:c>
      <x:c r="P12" s="30" t="str">
        <x:f>IF(K12="","",ABS(K12-$E12)/ABS($E12))</x:f>
      </x:c>
      <x:c r="Q12" s="26" t="str">
        <x:f>IF(L12="","",ABS(L12-$E12))</x:f>
      </x:c>
      <x:c r="R12" s="30" t="str">
        <x:f>IF(L12="","",ABS(L12-$E12)/ABS($E12))</x:f>
      </x:c>
      <x:c r="S12" t="str">
        <x:f>IFERROR(INDEX('02_pipeline_grimperium_mini'!$H:$H,MATCH(1,('02_pipeline_grimperium_mini'!$A:$A=$A12)*('02_pipeline_grimperium_mini'!$D:$D="AM1"),0)),"")</x:f>
      </x:c>
      <x:c r="T12" t="str">
        <x:f>IFERROR(INDEX('02_pipeline_grimperium_mini'!$H:$H,MATCH(1,('02_pipeline_grimperium_mini'!$A:$A=$A12)*('02_pipeline_grimperium_mini'!$D:$D="PM3"),0)),"")</x:f>
      </x:c>
      <x:c r="U12" t="str">
        <x:f>IFERROR(INDEX('02_pipeline_grimperium_mini'!$H:$H,MATCH(1,('02_pipeline_grimperium_mini'!$A:$A=$A12)*('02_pipeline_grimperium_mini'!$D:$D="PM7"),0)),"")</x:f>
      </x:c>
      <x:c r="V12" t="str"/>
    </x:row>
    <x:row r="13">
      <x:c r="A13" t="str">
        <x:v>cbt_009</x:v>
      </x:c>
      <x:c r="B13" t="str">
        <x:v>Tetradecanoic acid</x:v>
      </x:c>
      <x:c r="C13" t="str">
        <x:v>CCCCCCCCCCCCCC(=O)O</x:v>
      </x:c>
      <x:c r="D13" t="str">
        <x:v>Acids</x:v>
      </x:c>
      <x:c r="E13" s="26" t="n">
        <x:v>-693.7</x:v>
      </x:c>
      <x:c r="F13" s="26" t="n">
        <x:v>-682.5600000000001</x:v>
      </x:c>
      <x:c r="G13" s="26" t="n">
        <x:v>-680.51</x:v>
      </x:c>
      <x:c r="H13" s="26" t="n">
        <x:v>-676.809</x:v>
      </x:c>
      <x:c r="I13" s="26" t="n">
        <x:v>-678.95566</x:v>
      </x:c>
      <x:c r="J13" s="26" t="n">
        <x:f>IF(COUNTIFS('02_pipeline_grimperium_mini'!$A:$A,$A13,'02_pipeline_grimperium_mini'!$D:$D,"AM1",'02_pipeline_grimperium_mini'!$U:$U,"&lt;&gt;")=0,"",SUMIFS('02_pipeline_grimperium_mini'!$U:$U,'02_pipeline_grimperium_mini'!$A:$A,$A13,'02_pipeline_grimperium_mini'!$D:$D,"AM1"))</x:f>
        <x:v>0</x:v>
      </x:c>
      <x:c r="K13" s="26" t="n">
        <x:f>IF(COUNTIFS('02_pipeline_grimperium_mini'!$A:$A,$A13,'02_pipeline_grimperium_mini'!$D:$D,"PM3",'02_pipeline_grimperium_mini'!$U:$U,"&lt;&gt;")=0,"",SUMIFS('02_pipeline_grimperium_mini'!$U:$U,'02_pipeline_grimperium_mini'!$A:$A,$A13,'02_pipeline_grimperium_mini'!$D:$D,"PM3"))</x:f>
        <x:v>0</x:v>
      </x:c>
      <x:c r="L13" s="26" t="n">
        <x:f>IF(COUNTIFS('02_pipeline_grimperium_mini'!$A:$A,$A13,'02_pipeline_grimperium_mini'!$D:$D,"PM7",'02_pipeline_grimperium_mini'!$U:$U,"&lt;&gt;")=0,"",SUMIFS('02_pipeline_grimperium_mini'!$U:$U,'02_pipeline_grimperium_mini'!$A:$A,$A13,'02_pipeline_grimperium_mini'!$D:$D,"PM7"))</x:f>
        <x:v>0</x:v>
      </x:c>
      <x:c r="M13" s="26" t="str">
        <x:f>IF(J13="","",ABS(J13-$E13))</x:f>
      </x:c>
      <x:c r="N13" s="30" t="str">
        <x:f>IF(J13="","",ABS(J13-$E13)/ABS($E13))</x:f>
      </x:c>
      <x:c r="O13" s="26" t="str">
        <x:f>IF(K13="","",ABS(K13-$E13))</x:f>
      </x:c>
      <x:c r="P13" s="30" t="str">
        <x:f>IF(K13="","",ABS(K13-$E13)/ABS($E13))</x:f>
      </x:c>
      <x:c r="Q13" s="26" t="str">
        <x:f>IF(L13="","",ABS(L13-$E13))</x:f>
      </x:c>
      <x:c r="R13" s="30" t="str">
        <x:f>IF(L13="","",ABS(L13-$E13)/ABS($E13))</x:f>
      </x:c>
      <x:c r="S13" t="str">
        <x:f>IFERROR(INDEX('02_pipeline_grimperium_mini'!$H:$H,MATCH(1,('02_pipeline_grimperium_mini'!$A:$A=$A13)*('02_pipeline_grimperium_mini'!$D:$D="AM1"),0)),"")</x:f>
      </x:c>
      <x:c r="T13" t="str">
        <x:f>IFERROR(INDEX('02_pipeline_grimperium_mini'!$H:$H,MATCH(1,('02_pipeline_grimperium_mini'!$A:$A=$A13)*('02_pipeline_grimperium_mini'!$D:$D="PM3"),0)),"")</x:f>
      </x:c>
      <x:c r="U13" t="str">
        <x:f>IFERROR(INDEX('02_pipeline_grimperium_mini'!$H:$H,MATCH(1,('02_pipeline_grimperium_mini'!$A:$A=$A13)*('02_pipeline_grimperium_mini'!$D:$D="PM7"),0)),"")</x:f>
      </x:c>
      <x:c r="V13" t="str"/>
    </x:row>
    <x:row r="14">
      <x:c r="A14" t="str">
        <x:v>cbt_010</x:v>
      </x:c>
      <x:c r="B14" t="str">
        <x:v>Hexadecanoic acid</x:v>
      </x:c>
      <x:c r="C14" t="str">
        <x:v>CCCCCCCCCCCCCCCC(=O)O</x:v>
      </x:c>
      <x:c r="D14" t="str">
        <x:v>Acids</x:v>
      </x:c>
      <x:c r="E14" s="26" t="n">
        <x:v>-737.1</x:v>
      </x:c>
      <x:c r="F14" s="26" t="n">
        <x:v>-723.8400000000001</x:v>
      </x:c>
      <x:c r="G14" s="26" t="n">
        <x:v>-722.0360000000001</x:v>
      </x:c>
      <x:c r="H14" s="26" t="n">
        <x:v>-718.467</x:v>
      </x:c>
      <x:c r="I14" s="26" t="n">
        <x:v>-721.25162</x:v>
      </x:c>
      <x:c r="J14" s="26" t="n">
        <x:f>IF(COUNTIFS('02_pipeline_grimperium_mini'!$A:$A,$A14,'02_pipeline_grimperium_mini'!$D:$D,"AM1",'02_pipeline_grimperium_mini'!$U:$U,"&lt;&gt;")=0,"",SUMIFS('02_pipeline_grimperium_mini'!$U:$U,'02_pipeline_grimperium_mini'!$A:$A,$A14,'02_pipeline_grimperium_mini'!$D:$D,"AM1"))</x:f>
        <x:v>0</x:v>
      </x:c>
      <x:c r="K14" s="26" t="n">
        <x:f>IF(COUNTIFS('02_pipeline_grimperium_mini'!$A:$A,$A14,'02_pipeline_grimperium_mini'!$D:$D,"PM3",'02_pipeline_grimperium_mini'!$U:$U,"&lt;&gt;")=0,"",SUMIFS('02_pipeline_grimperium_mini'!$U:$U,'02_pipeline_grimperium_mini'!$A:$A,$A14,'02_pipeline_grimperium_mini'!$D:$D,"PM3"))</x:f>
        <x:v>0</x:v>
      </x:c>
      <x:c r="L14" s="26" t="n">
        <x:f>IF(COUNTIFS('02_pipeline_grimperium_mini'!$A:$A,$A14,'02_pipeline_grimperium_mini'!$D:$D,"PM7",'02_pipeline_grimperium_mini'!$U:$U,"&lt;&gt;")=0,"",SUMIFS('02_pipeline_grimperium_mini'!$U:$U,'02_pipeline_grimperium_mini'!$A:$A,$A14,'02_pipeline_grimperium_mini'!$D:$D,"PM7"))</x:f>
        <x:v>0</x:v>
      </x:c>
      <x:c r="M14" s="26" t="str">
        <x:f>IF(J14="","",ABS(J14-$E14))</x:f>
      </x:c>
      <x:c r="N14" s="30" t="str">
        <x:f>IF(J14="","",ABS(J14-$E14)/ABS($E14))</x:f>
      </x:c>
      <x:c r="O14" s="26" t="str">
        <x:f>IF(K14="","",ABS(K14-$E14))</x:f>
      </x:c>
      <x:c r="P14" s="30" t="str">
        <x:f>IF(K14="","",ABS(K14-$E14)/ABS($E14))</x:f>
      </x:c>
      <x:c r="Q14" s="26" t="str">
        <x:f>IF(L14="","",ABS(L14-$E14))</x:f>
      </x:c>
      <x:c r="R14" s="30" t="str">
        <x:f>IF(L14="","",ABS(L14-$E14)/ABS($E14))</x:f>
      </x:c>
      <x:c r="S14" t="str">
        <x:f>IFERROR(INDEX('02_pipeline_grimperium_mini'!$H:$H,MATCH(1,('02_pipeline_grimperium_mini'!$A:$A=$A14)*('02_pipeline_grimperium_mini'!$D:$D="AM1"),0)),"")</x:f>
      </x:c>
      <x:c r="T14" t="str">
        <x:f>IFERROR(INDEX('02_pipeline_grimperium_mini'!$H:$H,MATCH(1,('02_pipeline_grimperium_mini'!$A:$A=$A14)*('02_pipeline_grimperium_mini'!$D:$D="PM3"),0)),"")</x:f>
      </x:c>
      <x:c r="U14" t="str">
        <x:f>IFERROR(INDEX('02_pipeline_grimperium_mini'!$H:$H,MATCH(1,('02_pipeline_grimperium_mini'!$A:$A=$A14)*('02_pipeline_grimperium_mini'!$D:$D="PM7"),0)),"")</x:f>
      </x:c>
      <x:c r="V14" t="str"/>
    </x:row>
    <x:row r="15">
      <x:c r="A15" t="str">
        <x:v>cbt_011</x:v>
      </x:c>
      <x:c r="B15" t="str">
        <x:v>Methanol</x:v>
      </x:c>
      <x:c r="C15" t="str">
        <x:v>CO</x:v>
      </x:c>
      <x:c r="D15" t="str">
        <x:v>Alcohols</x:v>
      </x:c>
      <x:c r="E15" s="26" t="n">
        <x:v>-200.94</x:v>
      </x:c>
      <x:c r="F15" s="26" t="n">
        <x:v>-216.2</x:v>
      </x:c>
      <x:c r="G15" s="26" t="n">
        <x:v>-216.534</x:v>
      </x:c>
      <x:c r="H15" s="26" t="n">
        <x:v>-215.29</x:v>
      </x:c>
      <x:c r="I15" s="26" t="n">
        <x:v>-204.75825</x:v>
      </x:c>
      <x:c r="J15" s="26" t="n">
        <x:f>IF(COUNTIFS('02_pipeline_grimperium_mini'!$A:$A,$A15,'02_pipeline_grimperium_mini'!$D:$D,"AM1",'02_pipeline_grimperium_mini'!$U:$U,"&lt;&gt;")=0,"",SUMIFS('02_pipeline_grimperium_mini'!$U:$U,'02_pipeline_grimperium_mini'!$A:$A,$A15,'02_pipeline_grimperium_mini'!$D:$D,"AM1"))</x:f>
        <x:v>0</x:v>
      </x:c>
      <x:c r="K15" s="26" t="n">
        <x:f>IF(COUNTIFS('02_pipeline_grimperium_mini'!$A:$A,$A15,'02_pipeline_grimperium_mini'!$D:$D,"PM3",'02_pipeline_grimperium_mini'!$U:$U,"&lt;&gt;")=0,"",SUMIFS('02_pipeline_grimperium_mini'!$U:$U,'02_pipeline_grimperium_mini'!$A:$A,$A15,'02_pipeline_grimperium_mini'!$D:$D,"PM3"))</x:f>
        <x:v>0</x:v>
      </x:c>
      <x:c r="L15" s="26" t="n">
        <x:f>IF(COUNTIFS('02_pipeline_grimperium_mini'!$A:$A,$A15,'02_pipeline_grimperium_mini'!$D:$D,"PM7",'02_pipeline_grimperium_mini'!$U:$U,"&lt;&gt;")=0,"",SUMIFS('02_pipeline_grimperium_mini'!$U:$U,'02_pipeline_grimperium_mini'!$A:$A,$A15,'02_pipeline_grimperium_mini'!$D:$D,"PM7"))</x:f>
        <x:v>0</x:v>
      </x:c>
      <x:c r="M15" s="26" t="str">
        <x:f>IF(J15="","",ABS(J15-$E15))</x:f>
      </x:c>
      <x:c r="N15" s="30" t="str">
        <x:f>IF(J15="","",ABS(J15-$E15)/ABS($E15))</x:f>
      </x:c>
      <x:c r="O15" s="26" t="str">
        <x:f>IF(K15="","",ABS(K15-$E15))</x:f>
      </x:c>
      <x:c r="P15" s="30" t="str">
        <x:f>IF(K15="","",ABS(K15-$E15)/ABS($E15))</x:f>
      </x:c>
      <x:c r="Q15" s="26" t="str">
        <x:f>IF(L15="","",ABS(L15-$E15))</x:f>
      </x:c>
      <x:c r="R15" s="30" t="str">
        <x:f>IF(L15="","",ABS(L15-$E15)/ABS($E15))</x:f>
      </x:c>
      <x:c r="S15" t="str">
        <x:f>IFERROR(INDEX('02_pipeline_grimperium_mini'!$H:$H,MATCH(1,('02_pipeline_grimperium_mini'!$A:$A=$A15)*('02_pipeline_grimperium_mini'!$D:$D="AM1"),0)),"")</x:f>
      </x:c>
      <x:c r="T15" t="str">
        <x:f>IFERROR(INDEX('02_pipeline_grimperium_mini'!$H:$H,MATCH(1,('02_pipeline_grimperium_mini'!$A:$A=$A15)*('02_pipeline_grimperium_mini'!$D:$D="PM3"),0)),"")</x:f>
      </x:c>
      <x:c r="U15" t="str">
        <x:f>IFERROR(INDEX('02_pipeline_grimperium_mini'!$H:$H,MATCH(1,('02_pipeline_grimperium_mini'!$A:$A=$A15)*('02_pipeline_grimperium_mini'!$D:$D="PM7"),0)),"")</x:f>
      </x:c>
      <x:c r="V15" t="str"/>
    </x:row>
    <x:row r="16">
      <x:c r="A16" t="str">
        <x:v>cbt_012</x:v>
      </x:c>
      <x:c r="B16" t="str">
        <x:v>Ethanol</x:v>
      </x:c>
      <x:c r="C16" t="str">
        <x:v>CCO</x:v>
      </x:c>
      <x:c r="D16" t="str">
        <x:v>Alcohols</x:v>
      </x:c>
      <x:c r="E16" s="26" t="n">
        <x:v>-234.95</x:v>
      </x:c>
      <x:c r="F16" s="26" t="n">
        <x:v>-236.83999999999997</x:v>
      </x:c>
      <x:c r="G16" s="26" t="n">
        <x:v>-237.297</x:v>
      </x:c>
      <x:c r="H16" s="26" t="n">
        <x:v>-236.119</x:v>
      </x:c>
      <x:c r="I16" s="26" t="n">
        <x:v>-242.07799</x:v>
      </x:c>
      <x:c r="J16" s="26" t="n">
        <x:f>IF(COUNTIFS('02_pipeline_grimperium_mini'!$A:$A,$A16,'02_pipeline_grimperium_mini'!$D:$D,"AM1",'02_pipeline_grimperium_mini'!$U:$U,"&lt;&gt;")=0,"",SUMIFS('02_pipeline_grimperium_mini'!$U:$U,'02_pipeline_grimperium_mini'!$A:$A,$A16,'02_pipeline_grimperium_mini'!$D:$D,"AM1"))</x:f>
        <x:v>0</x:v>
      </x:c>
      <x:c r="K16" s="26" t="n">
        <x:f>IF(COUNTIFS('02_pipeline_grimperium_mini'!$A:$A,$A16,'02_pipeline_grimperium_mini'!$D:$D,"PM3",'02_pipeline_grimperium_mini'!$U:$U,"&lt;&gt;")=0,"",SUMIFS('02_pipeline_grimperium_mini'!$U:$U,'02_pipeline_grimperium_mini'!$A:$A,$A16,'02_pipeline_grimperium_mini'!$D:$D,"PM3"))</x:f>
        <x:v>0</x:v>
      </x:c>
      <x:c r="L16" s="26" t="n">
        <x:f>IF(COUNTIFS('02_pipeline_grimperium_mini'!$A:$A,$A16,'02_pipeline_grimperium_mini'!$D:$D,"PM7",'02_pipeline_grimperium_mini'!$U:$U,"&lt;&gt;")=0,"",SUMIFS('02_pipeline_grimperium_mini'!$U:$U,'02_pipeline_grimperium_mini'!$A:$A,$A16,'02_pipeline_grimperium_mini'!$D:$D,"PM7"))</x:f>
        <x:v>0</x:v>
      </x:c>
      <x:c r="M16" s="26" t="str">
        <x:f>IF(J16="","",ABS(J16-$E16))</x:f>
      </x:c>
      <x:c r="N16" s="30" t="str">
        <x:f>IF(J16="","",ABS(J16-$E16)/ABS($E16))</x:f>
      </x:c>
      <x:c r="O16" s="26" t="str">
        <x:f>IF(K16="","",ABS(K16-$E16))</x:f>
      </x:c>
      <x:c r="P16" s="30" t="str">
        <x:f>IF(K16="","",ABS(K16-$E16)/ABS($E16))</x:f>
      </x:c>
      <x:c r="Q16" s="26" t="str">
        <x:f>IF(L16="","",ABS(L16-$E16))</x:f>
      </x:c>
      <x:c r="R16" s="30" t="str">
        <x:f>IF(L16="","",ABS(L16-$E16)/ABS($E16))</x:f>
      </x:c>
      <x:c r="S16" t="str">
        <x:f>IFERROR(INDEX('02_pipeline_grimperium_mini'!$H:$H,MATCH(1,('02_pipeline_grimperium_mini'!$A:$A=$A16)*('02_pipeline_grimperium_mini'!$D:$D="AM1"),0)),"")</x:f>
      </x:c>
      <x:c r="T16" t="str">
        <x:f>IFERROR(INDEX('02_pipeline_grimperium_mini'!$H:$H,MATCH(1,('02_pipeline_grimperium_mini'!$A:$A=$A16)*('02_pipeline_grimperium_mini'!$D:$D="PM3"),0)),"")</x:f>
      </x:c>
      <x:c r="U16" t="str">
        <x:f>IFERROR(INDEX('02_pipeline_grimperium_mini'!$H:$H,MATCH(1,('02_pipeline_grimperium_mini'!$A:$A=$A16)*('02_pipeline_grimperium_mini'!$D:$D="PM7"),0)),"")</x:f>
      </x:c>
      <x:c r="V16" t="str"/>
    </x:row>
    <x:row r="17">
      <x:c r="A17" t="str">
        <x:v>cbt_013</x:v>
      </x:c>
      <x:c r="B17" t="str">
        <x:v>Glycerol</x:v>
      </x:c>
      <x:c r="C17" t="str">
        <x:v>C(C(CO)O)O</x:v>
      </x:c>
      <x:c r="D17" t="str">
        <x:v>Alcohols</x:v>
      </x:c>
      <x:c r="E17" s="26" t="n">
        <x:v>-577.9</x:v>
      </x:c>
      <x:c r="F17" s="26" t="n">
        <x:v>-567.22</x:v>
      </x:c>
      <x:c r="G17" s="26" t="n">
        <x:v>-582.6099999999999</x:v>
      </x:c>
      <x:c r="H17" s="26" t="n">
        <x:v>-582.7330000000001</x:v>
      </x:c>
      <x:c r="I17" s="26" t="n">
        <x:v>-588.45026</x:v>
      </x:c>
      <x:c r="J17" s="26" t="n">
        <x:f>IF(COUNTIFS('02_pipeline_grimperium_mini'!$A:$A,$A17,'02_pipeline_grimperium_mini'!$D:$D,"AM1",'02_pipeline_grimperium_mini'!$U:$U,"&lt;&gt;")=0,"",SUMIFS('02_pipeline_grimperium_mini'!$U:$U,'02_pipeline_grimperium_mini'!$A:$A,$A17,'02_pipeline_grimperium_mini'!$D:$D,"AM1"))</x:f>
        <x:v>0</x:v>
      </x:c>
      <x:c r="K17" s="26" t="n">
        <x:f>IF(COUNTIFS('02_pipeline_grimperium_mini'!$A:$A,$A17,'02_pipeline_grimperium_mini'!$D:$D,"PM3",'02_pipeline_grimperium_mini'!$U:$U,"&lt;&gt;")=0,"",SUMIFS('02_pipeline_grimperium_mini'!$U:$U,'02_pipeline_grimperium_mini'!$A:$A,$A17,'02_pipeline_grimperium_mini'!$D:$D,"PM3"))</x:f>
        <x:v>0</x:v>
      </x:c>
      <x:c r="L17" s="26" t="n">
        <x:f>IF(COUNTIFS('02_pipeline_grimperium_mini'!$A:$A,$A17,'02_pipeline_grimperium_mini'!$D:$D,"PM7",'02_pipeline_grimperium_mini'!$U:$U,"&lt;&gt;")=0,"",SUMIFS('02_pipeline_grimperium_mini'!$U:$U,'02_pipeline_grimperium_mini'!$A:$A,$A17,'02_pipeline_grimperium_mini'!$D:$D,"PM7"))</x:f>
        <x:v>0</x:v>
      </x:c>
      <x:c r="M17" s="26" t="str">
        <x:f>IF(J17="","",ABS(J17-$E17))</x:f>
      </x:c>
      <x:c r="N17" s="30" t="str">
        <x:f>IF(J17="","",ABS(J17-$E17)/ABS($E17))</x:f>
      </x:c>
      <x:c r="O17" s="26" t="str">
        <x:f>IF(K17="","",ABS(K17-$E17))</x:f>
      </x:c>
      <x:c r="P17" s="30" t="str">
        <x:f>IF(K17="","",ABS(K17-$E17)/ABS($E17))</x:f>
      </x:c>
      <x:c r="Q17" s="26" t="str">
        <x:f>IF(L17="","",ABS(L17-$E17))</x:f>
      </x:c>
      <x:c r="R17" s="30" t="str">
        <x:f>IF(L17="","",ABS(L17-$E17)/ABS($E17))</x:f>
      </x:c>
      <x:c r="S17" t="str">
        <x:f>IFERROR(INDEX('02_pipeline_grimperium_mini'!$H:$H,MATCH(1,('02_pipeline_grimperium_mini'!$A:$A=$A17)*('02_pipeline_grimperium_mini'!$D:$D="AM1"),0)),"")</x:f>
      </x:c>
      <x:c r="T17" t="str">
        <x:f>IFERROR(INDEX('02_pipeline_grimperium_mini'!$H:$H,MATCH(1,('02_pipeline_grimperium_mini'!$A:$A=$A17)*('02_pipeline_grimperium_mini'!$D:$D="PM3"),0)),"")</x:f>
      </x:c>
      <x:c r="U17" t="str">
        <x:f>IFERROR(INDEX('02_pipeline_grimperium_mini'!$H:$H,MATCH(1,('02_pipeline_grimperium_mini'!$A:$A=$A17)*('02_pipeline_grimperium_mini'!$D:$D="PM7"),0)),"")</x:f>
      </x:c>
      <x:c r="V17" t="str"/>
    </x:row>
    <x:row r="18">
      <x:c r="A18" t="str">
        <x:v>cbt_014</x:v>
      </x:c>
      <x:c r="B18" t="str">
        <x:v>Propanol</x:v>
      </x:c>
      <x:c r="C18" t="str">
        <x:v>CCCO</x:v>
      </x:c>
      <x:c r="D18" t="str">
        <x:v>Alcohols</x:v>
      </x:c>
      <x:c r="E18" s="26" t="n">
        <x:v>-254.6</x:v>
      </x:c>
      <x:c r="F18" s="26" t="n">
        <x:v>-257.47999999999996</x:v>
      </x:c>
      <x:c r="G18" s="26" t="n">
        <x:v>-258.06</x:v>
      </x:c>
      <x:c r="H18" s="26" t="n">
        <x:v>-256.94800000000004</x:v>
      </x:c>
      <x:c r="I18" s="26" t="n">
        <x:v>-262.4848</x:v>
      </x:c>
      <x:c r="J18" s="26" t="n">
        <x:f>IF(COUNTIFS('02_pipeline_grimperium_mini'!$A:$A,$A18,'02_pipeline_grimperium_mini'!$D:$D,"AM1",'02_pipeline_grimperium_mini'!$U:$U,"&lt;&gt;")=0,"",SUMIFS('02_pipeline_grimperium_mini'!$U:$U,'02_pipeline_grimperium_mini'!$A:$A,$A18,'02_pipeline_grimperium_mini'!$D:$D,"AM1"))</x:f>
        <x:v>0</x:v>
      </x:c>
      <x:c r="K18" s="26" t="n">
        <x:f>IF(COUNTIFS('02_pipeline_grimperium_mini'!$A:$A,$A18,'02_pipeline_grimperium_mini'!$D:$D,"PM3",'02_pipeline_grimperium_mini'!$U:$U,"&lt;&gt;")=0,"",SUMIFS('02_pipeline_grimperium_mini'!$U:$U,'02_pipeline_grimperium_mini'!$A:$A,$A18,'02_pipeline_grimperium_mini'!$D:$D,"PM3"))</x:f>
        <x:v>0</x:v>
      </x:c>
      <x:c r="L18" s="26" t="n">
        <x:f>IF(COUNTIFS('02_pipeline_grimperium_mini'!$A:$A,$A18,'02_pipeline_grimperium_mini'!$D:$D,"PM7",'02_pipeline_grimperium_mini'!$U:$U,"&lt;&gt;")=0,"",SUMIFS('02_pipeline_grimperium_mini'!$U:$U,'02_pipeline_grimperium_mini'!$A:$A,$A18,'02_pipeline_grimperium_mini'!$D:$D,"PM7"))</x:f>
        <x:v>0</x:v>
      </x:c>
      <x:c r="M18" s="26" t="str">
        <x:f>IF(J18="","",ABS(J18-$E18))</x:f>
      </x:c>
      <x:c r="N18" s="30" t="str">
        <x:f>IF(J18="","",ABS(J18-$E18)/ABS($E18))</x:f>
      </x:c>
      <x:c r="O18" s="26" t="str">
        <x:f>IF(K18="","",ABS(K18-$E18))</x:f>
      </x:c>
      <x:c r="P18" s="30" t="str">
        <x:f>IF(K18="","",ABS(K18-$E18)/ABS($E18))</x:f>
      </x:c>
      <x:c r="Q18" s="26" t="str">
        <x:f>IF(L18="","",ABS(L18-$E18))</x:f>
      </x:c>
      <x:c r="R18" s="30" t="str">
        <x:f>IF(L18="","",ABS(L18-$E18)/ABS($E18))</x:f>
      </x:c>
      <x:c r="S18" t="str">
        <x:f>IFERROR(INDEX('02_pipeline_grimperium_mini'!$H:$H,MATCH(1,('02_pipeline_grimperium_mini'!$A:$A=$A18)*('02_pipeline_grimperium_mini'!$D:$D="AM1"),0)),"")</x:f>
      </x:c>
      <x:c r="T18" t="str">
        <x:f>IFERROR(INDEX('02_pipeline_grimperium_mini'!$H:$H,MATCH(1,('02_pipeline_grimperium_mini'!$A:$A=$A18)*('02_pipeline_grimperium_mini'!$D:$D="PM3"),0)),"")</x:f>
      </x:c>
      <x:c r="U18" t="str">
        <x:f>IFERROR(INDEX('02_pipeline_grimperium_mini'!$H:$H,MATCH(1,('02_pipeline_grimperium_mini'!$A:$A=$A18)*('02_pipeline_grimperium_mini'!$D:$D="PM7"),0)),"")</x:f>
      </x:c>
      <x:c r="V18" t="str"/>
    </x:row>
    <x:row r="19">
      <x:c r="A19" t="str">
        <x:v>cbt_015</x:v>
      </x:c>
      <x:c r="B19" t="str">
        <x:v>Butanol</x:v>
      </x:c>
      <x:c r="C19" t="str">
        <x:v>CCCCO</x:v>
      </x:c>
      <x:c r="D19" t="str">
        <x:v>Alcohols</x:v>
      </x:c>
      <x:c r="E19" s="26" t="n">
        <x:v>-275.1</x:v>
      </x:c>
      <x:c r="F19" s="26" t="n">
        <x:v>-278.11999999999995</x:v>
      </x:c>
      <x:c r="G19" s="26" t="n">
        <x:v>-278.82300000000004</x:v>
      </x:c>
      <x:c r="H19" s="26" t="n">
        <x:v>-277.77700000000004</x:v>
      </x:c>
      <x:c r="I19" s="26" t="n">
        <x:v>-283.15306</x:v>
      </x:c>
      <x:c r="J19" s="26" t="n">
        <x:f>IF(COUNTIFS('02_pipeline_grimperium_mini'!$A:$A,$A19,'02_pipeline_grimperium_mini'!$D:$D,"AM1",'02_pipeline_grimperium_mini'!$U:$U,"&lt;&gt;")=0,"",SUMIFS('02_pipeline_grimperium_mini'!$U:$U,'02_pipeline_grimperium_mini'!$A:$A,$A19,'02_pipeline_grimperium_mini'!$D:$D,"AM1"))</x:f>
        <x:v>0</x:v>
      </x:c>
      <x:c r="K19" s="26" t="n">
        <x:f>IF(COUNTIFS('02_pipeline_grimperium_mini'!$A:$A,$A19,'02_pipeline_grimperium_mini'!$D:$D,"PM3",'02_pipeline_grimperium_mini'!$U:$U,"&lt;&gt;")=0,"",SUMIFS('02_pipeline_grimperium_mini'!$U:$U,'02_pipeline_grimperium_mini'!$A:$A,$A19,'02_pipeline_grimperium_mini'!$D:$D,"PM3"))</x:f>
        <x:v>0</x:v>
      </x:c>
      <x:c r="L19" s="26" t="n">
        <x:f>IF(COUNTIFS('02_pipeline_grimperium_mini'!$A:$A,$A19,'02_pipeline_grimperium_mini'!$D:$D,"PM7",'02_pipeline_grimperium_mini'!$U:$U,"&lt;&gt;")=0,"",SUMIFS('02_pipeline_grimperium_mini'!$U:$U,'02_pipeline_grimperium_mini'!$A:$A,$A19,'02_pipeline_grimperium_mini'!$D:$D,"PM7"))</x:f>
        <x:v>0</x:v>
      </x:c>
      <x:c r="M19" s="26" t="str">
        <x:f>IF(J19="","",ABS(J19-$E19))</x:f>
      </x:c>
      <x:c r="N19" s="30" t="str">
        <x:f>IF(J19="","",ABS(J19-$E19)/ABS($E19))</x:f>
      </x:c>
      <x:c r="O19" s="26" t="str">
        <x:f>IF(K19="","",ABS(K19-$E19))</x:f>
      </x:c>
      <x:c r="P19" s="30" t="str">
        <x:f>IF(K19="","",ABS(K19-$E19)/ABS($E19))</x:f>
      </x:c>
      <x:c r="Q19" s="26" t="str">
        <x:f>IF(L19="","",ABS(L19-$E19))</x:f>
      </x:c>
      <x:c r="R19" s="30" t="str">
        <x:f>IF(L19="","",ABS(L19-$E19)/ABS($E19))</x:f>
      </x:c>
      <x:c r="S19" t="str">
        <x:f>IFERROR(INDEX('02_pipeline_grimperium_mini'!$H:$H,MATCH(1,('02_pipeline_grimperium_mini'!$A:$A=$A19)*('02_pipeline_grimperium_mini'!$D:$D="AM1"),0)),"")</x:f>
      </x:c>
      <x:c r="T19" t="str">
        <x:f>IFERROR(INDEX('02_pipeline_grimperium_mini'!$H:$H,MATCH(1,('02_pipeline_grimperium_mini'!$A:$A=$A19)*('02_pipeline_grimperium_mini'!$D:$D="PM3"),0)),"")</x:f>
      </x:c>
      <x:c r="U19" t="str">
        <x:f>IFERROR(INDEX('02_pipeline_grimperium_mini'!$H:$H,MATCH(1,('02_pipeline_grimperium_mini'!$A:$A=$A19)*('02_pipeline_grimperium_mini'!$D:$D="PM7"),0)),"")</x:f>
      </x:c>
      <x:c r="V19" t="str"/>
    </x:row>
    <x:row r="20">
      <x:c r="A20" t="str">
        <x:v>cbt_016</x:v>
      </x:c>
      <x:c r="B20" t="str">
        <x:v>Pentanol</x:v>
      </x:c>
      <x:c r="C20" t="str">
        <x:v>CCCCCO</x:v>
      </x:c>
      <x:c r="D20" t="str">
        <x:v>Alcohols</x:v>
      </x:c>
      <x:c r="E20" s="26" t="n">
        <x:v>-295.7</x:v>
      </x:c>
      <x:c r="F20" s="26" t="n">
        <x:v>-298.75999999999993</x:v>
      </x:c>
      <x:c r="G20" s="26" t="n">
        <x:v>-299.58600000000007</x:v>
      </x:c>
      <x:c r="H20" s="26" t="n">
        <x:v>-298.60600000000005</x:v>
      </x:c>
      <x:c r="I20" s="26" t="n">
        <x:v>-304.42055</x:v>
      </x:c>
      <x:c r="J20" s="26" t="n">
        <x:f>IF(COUNTIFS('02_pipeline_grimperium_mini'!$A:$A,$A20,'02_pipeline_grimperium_mini'!$D:$D,"AM1",'02_pipeline_grimperium_mini'!$U:$U,"&lt;&gt;")=0,"",SUMIFS('02_pipeline_grimperium_mini'!$U:$U,'02_pipeline_grimperium_mini'!$A:$A,$A20,'02_pipeline_grimperium_mini'!$D:$D,"AM1"))</x:f>
        <x:v>0</x:v>
      </x:c>
      <x:c r="K20" s="26" t="n">
        <x:f>IF(COUNTIFS('02_pipeline_grimperium_mini'!$A:$A,$A20,'02_pipeline_grimperium_mini'!$D:$D,"PM3",'02_pipeline_grimperium_mini'!$U:$U,"&lt;&gt;")=0,"",SUMIFS('02_pipeline_grimperium_mini'!$U:$U,'02_pipeline_grimperium_mini'!$A:$A,$A20,'02_pipeline_grimperium_mini'!$D:$D,"PM3"))</x:f>
        <x:v>0</x:v>
      </x:c>
      <x:c r="L20" s="26" t="n">
        <x:f>IF(COUNTIFS('02_pipeline_grimperium_mini'!$A:$A,$A20,'02_pipeline_grimperium_mini'!$D:$D,"PM7",'02_pipeline_grimperium_mini'!$U:$U,"&lt;&gt;")=0,"",SUMIFS('02_pipeline_grimperium_mini'!$U:$U,'02_pipeline_grimperium_mini'!$A:$A,$A20,'02_pipeline_grimperium_mini'!$D:$D,"PM7"))</x:f>
        <x:v>0</x:v>
      </x:c>
      <x:c r="M20" s="26" t="str">
        <x:f>IF(J20="","",ABS(J20-$E20))</x:f>
      </x:c>
      <x:c r="N20" s="30" t="str">
        <x:f>IF(J20="","",ABS(J20-$E20)/ABS($E20))</x:f>
      </x:c>
      <x:c r="O20" s="26" t="str">
        <x:f>IF(K20="","",ABS(K20-$E20))</x:f>
      </x:c>
      <x:c r="P20" s="30" t="str">
        <x:f>IF(K20="","",ABS(K20-$E20)/ABS($E20))</x:f>
      </x:c>
      <x:c r="Q20" s="26" t="str">
        <x:f>IF(L20="","",ABS(L20-$E20))</x:f>
      </x:c>
      <x:c r="R20" s="30" t="str">
        <x:f>IF(L20="","",ABS(L20-$E20)/ABS($E20))</x:f>
      </x:c>
      <x:c r="S20" t="str">
        <x:f>IFERROR(INDEX('02_pipeline_grimperium_mini'!$H:$H,MATCH(1,('02_pipeline_grimperium_mini'!$A:$A=$A20)*('02_pipeline_grimperium_mini'!$D:$D="AM1"),0)),"")</x:f>
      </x:c>
      <x:c r="T20" t="str">
        <x:f>IFERROR(INDEX('02_pipeline_grimperium_mini'!$H:$H,MATCH(1,('02_pipeline_grimperium_mini'!$A:$A=$A20)*('02_pipeline_grimperium_mini'!$D:$D="PM3"),0)),"")</x:f>
      </x:c>
      <x:c r="U20" t="str">
        <x:f>IFERROR(INDEX('02_pipeline_grimperium_mini'!$H:$H,MATCH(1,('02_pipeline_grimperium_mini'!$A:$A=$A20)*('02_pipeline_grimperium_mini'!$D:$D="PM7"),0)),"")</x:f>
      </x:c>
      <x:c r="V20" t="str"/>
    </x:row>
    <x:row r="21">
      <x:c r="A21" t="str">
        <x:v>cbt_017</x:v>
      </x:c>
      <x:c r="B21" t="str">
        <x:v>Hexanol</x:v>
      </x:c>
      <x:c r="C21" t="str">
        <x:v>CCCCCCO</x:v>
      </x:c>
      <x:c r="D21" t="str">
        <x:v>Alcohols</x:v>
      </x:c>
      <x:c r="E21" s="26" t="n">
        <x:v>-316.2</x:v>
      </x:c>
      <x:c r="F21" s="26" t="n">
        <x:v>-319.4</x:v>
      </x:c>
      <x:c r="G21" s="26" t="n">
        <x:v>-320.349</x:v>
      </x:c>
      <x:c r="H21" s="26" t="n">
        <x:v>-319.43500000000006</x:v>
      </x:c>
      <x:c r="I21" s="26" t="n">
        <x:v>-325.86172</x:v>
      </x:c>
      <x:c r="J21" s="26" t="n">
        <x:f>IF(COUNTIFS('02_pipeline_grimperium_mini'!$A:$A,$A21,'02_pipeline_grimperium_mini'!$D:$D,"AM1",'02_pipeline_grimperium_mini'!$U:$U,"&lt;&gt;")=0,"",SUMIFS('02_pipeline_grimperium_mini'!$U:$U,'02_pipeline_grimperium_mini'!$A:$A,$A21,'02_pipeline_grimperium_mini'!$D:$D,"AM1"))</x:f>
        <x:v>0</x:v>
      </x:c>
      <x:c r="K21" s="26" t="n">
        <x:f>IF(COUNTIFS('02_pipeline_grimperium_mini'!$A:$A,$A21,'02_pipeline_grimperium_mini'!$D:$D,"PM3",'02_pipeline_grimperium_mini'!$U:$U,"&lt;&gt;")=0,"",SUMIFS('02_pipeline_grimperium_mini'!$U:$U,'02_pipeline_grimperium_mini'!$A:$A,$A21,'02_pipeline_grimperium_mini'!$D:$D,"PM3"))</x:f>
        <x:v>0</x:v>
      </x:c>
      <x:c r="L21" s="26" t="n">
        <x:f>IF(COUNTIFS('02_pipeline_grimperium_mini'!$A:$A,$A21,'02_pipeline_grimperium_mini'!$D:$D,"PM7",'02_pipeline_grimperium_mini'!$U:$U,"&lt;&gt;")=0,"",SUMIFS('02_pipeline_grimperium_mini'!$U:$U,'02_pipeline_grimperium_mini'!$A:$A,$A21,'02_pipeline_grimperium_mini'!$D:$D,"PM7"))</x:f>
        <x:v>0</x:v>
      </x:c>
      <x:c r="M21" s="26" t="str">
        <x:f>IF(J21="","",ABS(J21-$E21))</x:f>
      </x:c>
      <x:c r="N21" s="30" t="str">
        <x:f>IF(J21="","",ABS(J21-$E21)/ABS($E21))</x:f>
      </x:c>
      <x:c r="O21" s="26" t="str">
        <x:f>IF(K21="","",ABS(K21-$E21))</x:f>
      </x:c>
      <x:c r="P21" s="30" t="str">
        <x:f>IF(K21="","",ABS(K21-$E21)/ABS($E21))</x:f>
      </x:c>
      <x:c r="Q21" s="26" t="str">
        <x:f>IF(L21="","",ABS(L21-$E21))</x:f>
      </x:c>
      <x:c r="R21" s="30" t="str">
        <x:f>IF(L21="","",ABS(L21-$E21)/ABS($E21))</x:f>
      </x:c>
      <x:c r="S21" t="str">
        <x:f>IFERROR(INDEX('02_pipeline_grimperium_mini'!$H:$H,MATCH(1,('02_pipeline_grimperium_mini'!$A:$A=$A21)*('02_pipeline_grimperium_mini'!$D:$D="AM1"),0)),"")</x:f>
      </x:c>
      <x:c r="T21" t="str">
        <x:f>IFERROR(INDEX('02_pipeline_grimperium_mini'!$H:$H,MATCH(1,('02_pipeline_grimperium_mini'!$A:$A=$A21)*('02_pipeline_grimperium_mini'!$D:$D="PM3"),0)),"")</x:f>
      </x:c>
      <x:c r="U21" t="str">
        <x:f>IFERROR(INDEX('02_pipeline_grimperium_mini'!$H:$H,MATCH(1,('02_pipeline_grimperium_mini'!$A:$A=$A21)*('02_pipeline_grimperium_mini'!$D:$D="PM7"),0)),"")</x:f>
      </x:c>
      <x:c r="V21" t="str"/>
    </x:row>
    <x:row r="22">
      <x:c r="A22" t="str">
        <x:v>cbt_018</x:v>
      </x:c>
      <x:c r="B22" t="str">
        <x:v>Heptanol</x:v>
      </x:c>
      <x:c r="C22" t="str">
        <x:v>CCCCCCCO</x:v>
      </x:c>
      <x:c r="D22" t="str">
        <x:v>Alcohols</x:v>
      </x:c>
      <x:c r="E22" s="26" t="n">
        <x:v>-336.8</x:v>
      </x:c>
      <x:c r="F22" s="26" t="n">
        <x:v>-340.04</x:v>
      </x:c>
      <x:c r="G22" s="26" t="n">
        <x:v>-341.112</x:v>
      </x:c>
      <x:c r="H22" s="26" t="n">
        <x:v>-340.264</x:v>
      </x:c>
      <x:c r="I22" s="26" t="n">
        <x:v>-347.16037</x:v>
      </x:c>
      <x:c r="J22" s="26" t="n">
        <x:f>IF(COUNTIFS('02_pipeline_grimperium_mini'!$A:$A,$A22,'02_pipeline_grimperium_mini'!$D:$D,"AM1",'02_pipeline_grimperium_mini'!$U:$U,"&lt;&gt;")=0,"",SUMIFS('02_pipeline_grimperium_mini'!$U:$U,'02_pipeline_grimperium_mini'!$A:$A,$A22,'02_pipeline_grimperium_mini'!$D:$D,"AM1"))</x:f>
        <x:v>0</x:v>
      </x:c>
      <x:c r="K22" s="26" t="n">
        <x:f>IF(COUNTIFS('02_pipeline_grimperium_mini'!$A:$A,$A22,'02_pipeline_grimperium_mini'!$D:$D,"PM3",'02_pipeline_grimperium_mini'!$U:$U,"&lt;&gt;")=0,"",SUMIFS('02_pipeline_grimperium_mini'!$U:$U,'02_pipeline_grimperium_mini'!$A:$A,$A22,'02_pipeline_grimperium_mini'!$D:$D,"PM3"))</x:f>
        <x:v>0</x:v>
      </x:c>
      <x:c r="L22" s="26" t="n">
        <x:f>IF(COUNTIFS('02_pipeline_grimperium_mini'!$A:$A,$A22,'02_pipeline_grimperium_mini'!$D:$D,"PM7",'02_pipeline_grimperium_mini'!$U:$U,"&lt;&gt;")=0,"",SUMIFS('02_pipeline_grimperium_mini'!$U:$U,'02_pipeline_grimperium_mini'!$A:$A,$A22,'02_pipeline_grimperium_mini'!$D:$D,"PM7"))</x:f>
        <x:v>0</x:v>
      </x:c>
      <x:c r="M22" s="26" t="str">
        <x:f>IF(J22="","",ABS(J22-$E22))</x:f>
      </x:c>
      <x:c r="N22" s="30" t="str">
        <x:f>IF(J22="","",ABS(J22-$E22)/ABS($E22))</x:f>
      </x:c>
      <x:c r="O22" s="26" t="str">
        <x:f>IF(K22="","",ABS(K22-$E22))</x:f>
      </x:c>
      <x:c r="P22" s="30" t="str">
        <x:f>IF(K22="","",ABS(K22-$E22)/ABS($E22))</x:f>
      </x:c>
      <x:c r="Q22" s="26" t="str">
        <x:f>IF(L22="","",ABS(L22-$E22))</x:f>
      </x:c>
      <x:c r="R22" s="30" t="str">
        <x:f>IF(L22="","",ABS(L22-$E22)/ABS($E22))</x:f>
      </x:c>
      <x:c r="S22" t="str">
        <x:f>IFERROR(INDEX('02_pipeline_grimperium_mini'!$H:$H,MATCH(1,('02_pipeline_grimperium_mini'!$A:$A=$A22)*('02_pipeline_grimperium_mini'!$D:$D="AM1"),0)),"")</x:f>
      </x:c>
      <x:c r="T22" t="str">
        <x:f>IFERROR(INDEX('02_pipeline_grimperium_mini'!$H:$H,MATCH(1,('02_pipeline_grimperium_mini'!$A:$A=$A22)*('02_pipeline_grimperium_mini'!$D:$D="PM3"),0)),"")</x:f>
      </x:c>
      <x:c r="U22" t="str">
        <x:f>IFERROR(INDEX('02_pipeline_grimperium_mini'!$H:$H,MATCH(1,('02_pipeline_grimperium_mini'!$A:$A=$A22)*('02_pipeline_grimperium_mini'!$D:$D="PM7"),0)),"")</x:f>
      </x:c>
      <x:c r="V22" t="str"/>
    </x:row>
    <x:row r="23">
      <x:c r="A23" t="str">
        <x:v>cbt_019</x:v>
      </x:c>
      <x:c r="B23" t="str">
        <x:v>Octanol</x:v>
      </x:c>
      <x:c r="C23" t="str">
        <x:v>CCCCCCCCO</x:v>
      </x:c>
      <x:c r="D23" t="str">
        <x:v>Alcohols</x:v>
      </x:c>
      <x:c r="E23" s="26" t="n">
        <x:v>-357.3</x:v>
      </x:c>
      <x:c r="F23" s="26" t="n">
        <x:v>-360.68</x:v>
      </x:c>
      <x:c r="G23" s="26" t="n">
        <x:v>-361.87500000000006</x:v>
      </x:c>
      <x:c r="H23" s="26" t="n">
        <x:v>-361.093</x:v>
      </x:c>
      <x:c r="I23" s="26" t="n">
        <x:v>-368.4913</x:v>
      </x:c>
      <x:c r="J23" s="26" t="n">
        <x:f>IF(COUNTIFS('02_pipeline_grimperium_mini'!$A:$A,$A23,'02_pipeline_grimperium_mini'!$D:$D,"AM1",'02_pipeline_grimperium_mini'!$U:$U,"&lt;&gt;")=0,"",SUMIFS('02_pipeline_grimperium_mini'!$U:$U,'02_pipeline_grimperium_mini'!$A:$A,$A23,'02_pipeline_grimperium_mini'!$D:$D,"AM1"))</x:f>
        <x:v>0</x:v>
      </x:c>
      <x:c r="K23" s="26" t="n">
        <x:f>IF(COUNTIFS('02_pipeline_grimperium_mini'!$A:$A,$A23,'02_pipeline_grimperium_mini'!$D:$D,"PM3",'02_pipeline_grimperium_mini'!$U:$U,"&lt;&gt;")=0,"",SUMIFS('02_pipeline_grimperium_mini'!$U:$U,'02_pipeline_grimperium_mini'!$A:$A,$A23,'02_pipeline_grimperium_mini'!$D:$D,"PM3"))</x:f>
        <x:v>0</x:v>
      </x:c>
      <x:c r="L23" s="26" t="n">
        <x:f>IF(COUNTIFS('02_pipeline_grimperium_mini'!$A:$A,$A23,'02_pipeline_grimperium_mini'!$D:$D,"PM7",'02_pipeline_grimperium_mini'!$U:$U,"&lt;&gt;")=0,"",SUMIFS('02_pipeline_grimperium_mini'!$U:$U,'02_pipeline_grimperium_mini'!$A:$A,$A23,'02_pipeline_grimperium_mini'!$D:$D,"PM7"))</x:f>
        <x:v>0</x:v>
      </x:c>
      <x:c r="M23" s="26" t="str">
        <x:f>IF(J23="","",ABS(J23-$E23))</x:f>
      </x:c>
      <x:c r="N23" s="30" t="str">
        <x:f>IF(J23="","",ABS(J23-$E23)/ABS($E23))</x:f>
      </x:c>
      <x:c r="O23" s="26" t="str">
        <x:f>IF(K23="","",ABS(K23-$E23))</x:f>
      </x:c>
      <x:c r="P23" s="30" t="str">
        <x:f>IF(K23="","",ABS(K23-$E23)/ABS($E23))</x:f>
      </x:c>
      <x:c r="Q23" s="26" t="str">
        <x:f>IF(L23="","",ABS(L23-$E23))</x:f>
      </x:c>
      <x:c r="R23" s="30" t="str">
        <x:f>IF(L23="","",ABS(L23-$E23)/ABS($E23))</x:f>
      </x:c>
      <x:c r="S23" t="str">
        <x:f>IFERROR(INDEX('02_pipeline_grimperium_mini'!$H:$H,MATCH(1,('02_pipeline_grimperium_mini'!$A:$A=$A23)*('02_pipeline_grimperium_mini'!$D:$D="AM1"),0)),"")</x:f>
      </x:c>
      <x:c r="T23" t="str">
        <x:f>IFERROR(INDEX('02_pipeline_grimperium_mini'!$H:$H,MATCH(1,('02_pipeline_grimperium_mini'!$A:$A=$A23)*('02_pipeline_grimperium_mini'!$D:$D="PM3"),0)),"")</x:f>
      </x:c>
      <x:c r="U23" t="str">
        <x:f>IFERROR(INDEX('02_pipeline_grimperium_mini'!$H:$H,MATCH(1,('02_pipeline_grimperium_mini'!$A:$A=$A23)*('02_pipeline_grimperium_mini'!$D:$D="PM7"),0)),"")</x:f>
      </x:c>
      <x:c r="V23" t="str"/>
    </x:row>
    <x:row r="24">
      <x:c r="A24" t="str">
        <x:v>cbt_020</x:v>
      </x:c>
      <x:c r="B24" t="str">
        <x:v>Methyl acetate</x:v>
      </x:c>
      <x:c r="C24" t="str">
        <x:v>CC(=O)OC</x:v>
      </x:c>
      <x:c r="D24" t="str">
        <x:v>Esters</x:v>
      </x:c>
      <x:c r="E24" s="26" t="n">
        <x:v>-411.9</x:v>
      </x:c>
      <x:c r="F24" s="26" t="n">
        <x:v>-422.53000000000003</x:v>
      </x:c>
      <x:c r="G24" s="26" t="n">
        <x:v>-424.84900000000005</x:v>
      </x:c>
      <x:c r="H24" s="26" t="n">
        <x:v>-424.38800000000003</x:v>
      </x:c>
      <x:c r="I24" s="26" t="n">
        <x:v>-405.05317</x:v>
      </x:c>
      <x:c r="J24" s="26" t="n">
        <x:f>IF(COUNTIFS('02_pipeline_grimperium_mini'!$A:$A,$A24,'02_pipeline_grimperium_mini'!$D:$D,"AM1",'02_pipeline_grimperium_mini'!$U:$U,"&lt;&gt;")=0,"",SUMIFS('02_pipeline_grimperium_mini'!$U:$U,'02_pipeline_grimperium_mini'!$A:$A,$A24,'02_pipeline_grimperium_mini'!$D:$D,"AM1"))</x:f>
        <x:v>0</x:v>
      </x:c>
      <x:c r="K24" s="26" t="n">
        <x:f>IF(COUNTIFS('02_pipeline_grimperium_mini'!$A:$A,$A24,'02_pipeline_grimperium_mini'!$D:$D,"PM3",'02_pipeline_grimperium_mini'!$U:$U,"&lt;&gt;")=0,"",SUMIFS('02_pipeline_grimperium_mini'!$U:$U,'02_pipeline_grimperium_mini'!$A:$A,$A24,'02_pipeline_grimperium_mini'!$D:$D,"PM3"))</x:f>
        <x:v>0</x:v>
      </x:c>
      <x:c r="L24" s="26" t="n">
        <x:f>IF(COUNTIFS('02_pipeline_grimperium_mini'!$A:$A,$A24,'02_pipeline_grimperium_mini'!$D:$D,"PM7",'02_pipeline_grimperium_mini'!$U:$U,"&lt;&gt;")=0,"",SUMIFS('02_pipeline_grimperium_mini'!$U:$U,'02_pipeline_grimperium_mini'!$A:$A,$A24,'02_pipeline_grimperium_mini'!$D:$D,"PM7"))</x:f>
        <x:v>0</x:v>
      </x:c>
      <x:c r="M24" s="26" t="str">
        <x:f>IF(J24="","",ABS(J24-$E24))</x:f>
      </x:c>
      <x:c r="N24" s="30" t="str">
        <x:f>IF(J24="","",ABS(J24-$E24)/ABS($E24))</x:f>
      </x:c>
      <x:c r="O24" s="26" t="str">
        <x:f>IF(K24="","",ABS(K24-$E24))</x:f>
      </x:c>
      <x:c r="P24" s="30" t="str">
        <x:f>IF(K24="","",ABS(K24-$E24)/ABS($E24))</x:f>
      </x:c>
      <x:c r="Q24" s="26" t="str">
        <x:f>IF(L24="","",ABS(L24-$E24))</x:f>
      </x:c>
      <x:c r="R24" s="30" t="str">
        <x:f>IF(L24="","",ABS(L24-$E24)/ABS($E24))</x:f>
      </x:c>
      <x:c r="S24" t="str">
        <x:f>IFERROR(INDEX('02_pipeline_grimperium_mini'!$H:$H,MATCH(1,('02_pipeline_grimperium_mini'!$A:$A=$A24)*('02_pipeline_grimperium_mini'!$D:$D="AM1"),0)),"")</x:f>
      </x:c>
      <x:c r="T24" t="str">
        <x:f>IFERROR(INDEX('02_pipeline_grimperium_mini'!$H:$H,MATCH(1,('02_pipeline_grimperium_mini'!$A:$A=$A24)*('02_pipeline_grimperium_mini'!$D:$D="PM3"),0)),"")</x:f>
      </x:c>
      <x:c r="U24" t="str">
        <x:f>IFERROR(INDEX('02_pipeline_grimperium_mini'!$H:$H,MATCH(1,('02_pipeline_grimperium_mini'!$A:$A=$A24)*('02_pipeline_grimperium_mini'!$D:$D="PM7"),0)),"")</x:f>
      </x:c>
      <x:c r="V24" t="str"/>
    </x:row>
    <x:row r="25">
      <x:c r="A25" t="str">
        <x:v>cbt_021</x:v>
      </x:c>
      <x:c r="B25" t="str">
        <x:v>Methyl propionate</x:v>
      </x:c>
      <x:c r="C25" t="str">
        <x:v>CCC(=O)OC</x:v>
      </x:c>
      <x:c r="D25" t="str">
        <x:v>Esters</x:v>
      </x:c>
      <x:c r="E25" s="26" t="n">
        <x:v>-427.5</x:v>
      </x:c>
      <x:c r="F25" s="26" t="n">
        <x:v>-443.17</x:v>
      </x:c>
      <x:c r="G25" s="26" t="n">
        <x:v>-440.317</x:v>
      </x:c>
      <x:c r="H25" s="26" t="n">
        <x:v>-443.61300000000006</x:v>
      </x:c>
      <x:c r="I25" s="26" t="n">
        <x:v>-423.65167</x:v>
      </x:c>
      <x:c r="J25" s="26" t="n">
        <x:f>IF(COUNTIFS('02_pipeline_grimperium_mini'!$A:$A,$A25,'02_pipeline_grimperium_mini'!$D:$D,"AM1",'02_pipeline_grimperium_mini'!$U:$U,"&lt;&gt;")=0,"",SUMIFS('02_pipeline_grimperium_mini'!$U:$U,'02_pipeline_grimperium_mini'!$A:$A,$A25,'02_pipeline_grimperium_mini'!$D:$D,"AM1"))</x:f>
        <x:v>0</x:v>
      </x:c>
      <x:c r="K25" s="26" t="n">
        <x:f>IF(COUNTIFS('02_pipeline_grimperium_mini'!$A:$A,$A25,'02_pipeline_grimperium_mini'!$D:$D,"PM3",'02_pipeline_grimperium_mini'!$U:$U,"&lt;&gt;")=0,"",SUMIFS('02_pipeline_grimperium_mini'!$U:$U,'02_pipeline_grimperium_mini'!$A:$A,$A25,'02_pipeline_grimperium_mini'!$D:$D,"PM3"))</x:f>
        <x:v>0</x:v>
      </x:c>
      <x:c r="L25" s="26" t="n">
        <x:f>IF(COUNTIFS('02_pipeline_grimperium_mini'!$A:$A,$A25,'02_pipeline_grimperium_mini'!$D:$D,"PM7",'02_pipeline_grimperium_mini'!$U:$U,"&lt;&gt;")=0,"",SUMIFS('02_pipeline_grimperium_mini'!$U:$U,'02_pipeline_grimperium_mini'!$A:$A,$A25,'02_pipeline_grimperium_mini'!$D:$D,"PM7"))</x:f>
        <x:v>0</x:v>
      </x:c>
      <x:c r="M25" s="26" t="str">
        <x:f>IF(J25="","",ABS(J25-$E25))</x:f>
      </x:c>
      <x:c r="N25" s="30" t="str">
        <x:f>IF(J25="","",ABS(J25-$E25)/ABS($E25))</x:f>
      </x:c>
      <x:c r="O25" s="26" t="str">
        <x:f>IF(K25="","",ABS(K25-$E25))</x:f>
      </x:c>
      <x:c r="P25" s="30" t="str">
        <x:f>IF(K25="","",ABS(K25-$E25)/ABS($E25))</x:f>
      </x:c>
      <x:c r="Q25" s="26" t="str">
        <x:f>IF(L25="","",ABS(L25-$E25))</x:f>
      </x:c>
      <x:c r="R25" s="30" t="str">
        <x:f>IF(L25="","",ABS(L25-$E25)/ABS($E25))</x:f>
      </x:c>
      <x:c r="S25" t="str">
        <x:f>IFERROR(INDEX('02_pipeline_grimperium_mini'!$H:$H,MATCH(1,('02_pipeline_grimperium_mini'!$A:$A=$A25)*('02_pipeline_grimperium_mini'!$D:$D="AM1"),0)),"")</x:f>
      </x:c>
      <x:c r="T25" t="str">
        <x:f>IFERROR(INDEX('02_pipeline_grimperium_mini'!$H:$H,MATCH(1,('02_pipeline_grimperium_mini'!$A:$A=$A25)*('02_pipeline_grimperium_mini'!$D:$D="PM3"),0)),"")</x:f>
      </x:c>
      <x:c r="U25" t="str">
        <x:f>IFERROR(INDEX('02_pipeline_grimperium_mini'!$H:$H,MATCH(1,('02_pipeline_grimperium_mini'!$A:$A=$A25)*('02_pipeline_grimperium_mini'!$D:$D="PM7"),0)),"")</x:f>
      </x:c>
      <x:c r="V25" t="str"/>
    </x:row>
    <x:row r="26">
      <x:c r="A26" t="str">
        <x:v>cbt_022</x:v>
      </x:c>
      <x:c r="B26" t="str">
        <x:v>Methyl butyrate</x:v>
      </x:c>
      <x:c r="C26" t="str">
        <x:v>CCCC(=O)OC</x:v>
      </x:c>
      <x:c r="D26" t="str">
        <x:v>Esters</x:v>
      </x:c>
      <x:c r="E26" s="26" t="n">
        <x:v>-450.7</x:v>
      </x:c>
      <x:c r="F26" s="26" t="n">
        <x:v>-463.81</x:v>
      </x:c>
      <x:c r="G26" s="26" t="n">
        <x:v>-461.08</x:v>
      </x:c>
      <x:c r="H26" s="26" t="n">
        <x:v>-464.442</x:v>
      </x:c>
      <x:c r="I26" s="26" t="n">
        <x:v>-445.40576</x:v>
      </x:c>
      <x:c r="J26" s="26" t="n">
        <x:f>IF(COUNTIFS('02_pipeline_grimperium_mini'!$A:$A,$A26,'02_pipeline_grimperium_mini'!$D:$D,"AM1",'02_pipeline_grimperium_mini'!$U:$U,"&lt;&gt;")=0,"",SUMIFS('02_pipeline_grimperium_mini'!$U:$U,'02_pipeline_grimperium_mini'!$A:$A,$A26,'02_pipeline_grimperium_mini'!$D:$D,"AM1"))</x:f>
        <x:v>0</x:v>
      </x:c>
      <x:c r="K26" s="26" t="n">
        <x:f>IF(COUNTIFS('02_pipeline_grimperium_mini'!$A:$A,$A26,'02_pipeline_grimperium_mini'!$D:$D,"PM3",'02_pipeline_grimperium_mini'!$U:$U,"&lt;&gt;")=0,"",SUMIFS('02_pipeline_grimperium_mini'!$U:$U,'02_pipeline_grimperium_mini'!$A:$A,$A26,'02_pipeline_grimperium_mini'!$D:$D,"PM3"))</x:f>
        <x:v>0</x:v>
      </x:c>
      <x:c r="L26" s="26" t="n">
        <x:f>IF(COUNTIFS('02_pipeline_grimperium_mini'!$A:$A,$A26,'02_pipeline_grimperium_mini'!$D:$D,"PM7",'02_pipeline_grimperium_mini'!$U:$U,"&lt;&gt;")=0,"",SUMIFS('02_pipeline_grimperium_mini'!$U:$U,'02_pipeline_grimperium_mini'!$A:$A,$A26,'02_pipeline_grimperium_mini'!$D:$D,"PM7"))</x:f>
        <x:v>0</x:v>
      </x:c>
      <x:c r="M26" s="26" t="str">
        <x:f>IF(J26="","",ABS(J26-$E26))</x:f>
      </x:c>
      <x:c r="N26" s="30" t="str">
        <x:f>IF(J26="","",ABS(J26-$E26)/ABS($E26))</x:f>
      </x:c>
      <x:c r="O26" s="26" t="str">
        <x:f>IF(K26="","",ABS(K26-$E26))</x:f>
      </x:c>
      <x:c r="P26" s="30" t="str">
        <x:f>IF(K26="","",ABS(K26-$E26)/ABS($E26))</x:f>
      </x:c>
      <x:c r="Q26" s="26" t="str">
        <x:f>IF(L26="","",ABS(L26-$E26))</x:f>
      </x:c>
      <x:c r="R26" s="30" t="str">
        <x:f>IF(L26="","",ABS(L26-$E26)/ABS($E26))</x:f>
      </x:c>
      <x:c r="S26" t="str">
        <x:f>IFERROR(INDEX('02_pipeline_grimperium_mini'!$H:$H,MATCH(1,('02_pipeline_grimperium_mini'!$A:$A=$A26)*('02_pipeline_grimperium_mini'!$D:$D="AM1"),0)),"")</x:f>
      </x:c>
      <x:c r="T26" t="str">
        <x:f>IFERROR(INDEX('02_pipeline_grimperium_mini'!$H:$H,MATCH(1,('02_pipeline_grimperium_mini'!$A:$A=$A26)*('02_pipeline_grimperium_mini'!$D:$D="PM3"),0)),"")</x:f>
      </x:c>
      <x:c r="U26" t="str">
        <x:f>IFERROR(INDEX('02_pipeline_grimperium_mini'!$H:$H,MATCH(1,('02_pipeline_grimperium_mini'!$A:$A=$A26)*('02_pipeline_grimperium_mini'!$D:$D="PM7"),0)),"")</x:f>
      </x:c>
      <x:c r="V26" t="str"/>
    </x:row>
    <x:row r="27">
      <x:c r="A27" t="str">
        <x:v>cbt_023</x:v>
      </x:c>
      <x:c r="B27" t="str">
        <x:v>Methyl pentanoate</x:v>
      </x:c>
      <x:c r="C27" t="str">
        <x:v>CCCCC(=O)OC</x:v>
      </x:c>
      <x:c r="D27" t="str">
        <x:v>Esters</x:v>
      </x:c>
      <x:c r="E27" s="26" t="n">
        <x:v>-471.1</x:v>
      </x:c>
      <x:c r="F27" s="26" t="n">
        <x:v>-484.45</x:v>
      </x:c>
      <x:c r="G27" s="26" t="n">
        <x:v>-481.843</x:v>
      </x:c>
      <x:c r="H27" s="26" t="n">
        <x:v>-485.271</x:v>
      </x:c>
      <x:c r="I27" s="26" t="n">
        <x:v>-466.21327</x:v>
      </x:c>
      <x:c r="J27" s="26" t="n">
        <x:f>IF(COUNTIFS('02_pipeline_grimperium_mini'!$A:$A,$A27,'02_pipeline_grimperium_mini'!$D:$D,"AM1",'02_pipeline_grimperium_mini'!$U:$U,"&lt;&gt;")=0,"",SUMIFS('02_pipeline_grimperium_mini'!$U:$U,'02_pipeline_grimperium_mini'!$A:$A,$A27,'02_pipeline_grimperium_mini'!$D:$D,"AM1"))</x:f>
        <x:v>0</x:v>
      </x:c>
      <x:c r="K27" s="26" t="n">
        <x:f>IF(COUNTIFS('02_pipeline_grimperium_mini'!$A:$A,$A27,'02_pipeline_grimperium_mini'!$D:$D,"PM3",'02_pipeline_grimperium_mini'!$U:$U,"&lt;&gt;")=0,"",SUMIFS('02_pipeline_grimperium_mini'!$U:$U,'02_pipeline_grimperium_mini'!$A:$A,$A27,'02_pipeline_grimperium_mini'!$D:$D,"PM3"))</x:f>
        <x:v>0</x:v>
      </x:c>
      <x:c r="L27" s="26" t="n">
        <x:f>IF(COUNTIFS('02_pipeline_grimperium_mini'!$A:$A,$A27,'02_pipeline_grimperium_mini'!$D:$D,"PM7",'02_pipeline_grimperium_mini'!$U:$U,"&lt;&gt;")=0,"",SUMIFS('02_pipeline_grimperium_mini'!$U:$U,'02_pipeline_grimperium_mini'!$A:$A,$A27,'02_pipeline_grimperium_mini'!$D:$D,"PM7"))</x:f>
        <x:v>0</x:v>
      </x:c>
      <x:c r="M27" s="26" t="str">
        <x:f>IF(J27="","",ABS(J27-$E27))</x:f>
      </x:c>
      <x:c r="N27" s="30" t="str">
        <x:f>IF(J27="","",ABS(J27-$E27)/ABS($E27))</x:f>
      </x:c>
      <x:c r="O27" s="26" t="str">
        <x:f>IF(K27="","",ABS(K27-$E27))</x:f>
      </x:c>
      <x:c r="P27" s="30" t="str">
        <x:f>IF(K27="","",ABS(K27-$E27)/ABS($E27))</x:f>
      </x:c>
      <x:c r="Q27" s="26" t="str">
        <x:f>IF(L27="","",ABS(L27-$E27))</x:f>
      </x:c>
      <x:c r="R27" s="30" t="str">
        <x:f>IF(L27="","",ABS(L27-$E27)/ABS($E27))</x:f>
      </x:c>
      <x:c r="S27" t="str">
        <x:f>IFERROR(INDEX('02_pipeline_grimperium_mini'!$H:$H,MATCH(1,('02_pipeline_grimperium_mini'!$A:$A=$A27)*('02_pipeline_grimperium_mini'!$D:$D="AM1"),0)),"")</x:f>
      </x:c>
      <x:c r="T27" t="str">
        <x:f>IFERROR(INDEX('02_pipeline_grimperium_mini'!$H:$H,MATCH(1,('02_pipeline_grimperium_mini'!$A:$A=$A27)*('02_pipeline_grimperium_mini'!$D:$D="PM3"),0)),"")</x:f>
      </x:c>
      <x:c r="U27" t="str">
        <x:f>IFERROR(INDEX('02_pipeline_grimperium_mini'!$H:$H,MATCH(1,('02_pipeline_grimperium_mini'!$A:$A=$A27)*('02_pipeline_grimperium_mini'!$D:$D="PM7"),0)),"")</x:f>
      </x:c>
      <x:c r="V27" t="str"/>
    </x:row>
    <x:row r="28">
      <x:c r="A28" t="str">
        <x:v>cbt_024</x:v>
      </x:c>
      <x:c r="B28" t="str">
        <x:v>Methyl hexanoate</x:v>
      </x:c>
      <x:c r="C28" t="str">
        <x:v>CCCCCC(=O)OC</x:v>
      </x:c>
      <x:c r="D28" t="str">
        <x:v>Esters</x:v>
      </x:c>
      <x:c r="E28" s="26" t="n">
        <x:v>-492.2</x:v>
      </x:c>
      <x:c r="F28" s="26" t="n">
        <x:v>-505.09</x:v>
      </x:c>
      <x:c r="G28" s="26" t="n">
        <x:v>-502.60600000000005</x:v>
      </x:c>
      <x:c r="H28" s="26" t="n">
        <x:v>-506.1</x:v>
      </x:c>
      <x:c r="I28" s="26" t="n">
        <x:v>-487.81117</x:v>
      </x:c>
      <x:c r="J28" s="26" t="n">
        <x:f>IF(COUNTIFS('02_pipeline_grimperium_mini'!$A:$A,$A28,'02_pipeline_grimperium_mini'!$D:$D,"AM1",'02_pipeline_grimperium_mini'!$U:$U,"&lt;&gt;")=0,"",SUMIFS('02_pipeline_grimperium_mini'!$U:$U,'02_pipeline_grimperium_mini'!$A:$A,$A28,'02_pipeline_grimperium_mini'!$D:$D,"AM1"))</x:f>
        <x:v>0</x:v>
      </x:c>
      <x:c r="K28" s="26" t="n">
        <x:f>IF(COUNTIFS('02_pipeline_grimperium_mini'!$A:$A,$A28,'02_pipeline_grimperium_mini'!$D:$D,"PM3",'02_pipeline_grimperium_mini'!$U:$U,"&lt;&gt;")=0,"",SUMIFS('02_pipeline_grimperium_mini'!$U:$U,'02_pipeline_grimperium_mini'!$A:$A,$A28,'02_pipeline_grimperium_mini'!$D:$D,"PM3"))</x:f>
        <x:v>0</x:v>
      </x:c>
      <x:c r="L28" s="26" t="n">
        <x:f>IF(COUNTIFS('02_pipeline_grimperium_mini'!$A:$A,$A28,'02_pipeline_grimperium_mini'!$D:$D,"PM7",'02_pipeline_grimperium_mini'!$U:$U,"&lt;&gt;")=0,"",SUMIFS('02_pipeline_grimperium_mini'!$U:$U,'02_pipeline_grimperium_mini'!$A:$A,$A28,'02_pipeline_grimperium_mini'!$D:$D,"PM7"))</x:f>
        <x:v>0</x:v>
      </x:c>
      <x:c r="M28" s="26" t="str">
        <x:f>IF(J28="","",ABS(J28-$E28))</x:f>
      </x:c>
      <x:c r="N28" s="30" t="str">
        <x:f>IF(J28="","",ABS(J28-$E28)/ABS($E28))</x:f>
      </x:c>
      <x:c r="O28" s="26" t="str">
        <x:f>IF(K28="","",ABS(K28-$E28))</x:f>
      </x:c>
      <x:c r="P28" s="30" t="str">
        <x:f>IF(K28="","",ABS(K28-$E28)/ABS($E28))</x:f>
      </x:c>
      <x:c r="Q28" s="26" t="str">
        <x:f>IF(L28="","",ABS(L28-$E28))</x:f>
      </x:c>
      <x:c r="R28" s="30" t="str">
        <x:f>IF(L28="","",ABS(L28-$E28)/ABS($E28))</x:f>
      </x:c>
      <x:c r="S28" t="str">
        <x:f>IFERROR(INDEX('02_pipeline_grimperium_mini'!$H:$H,MATCH(1,('02_pipeline_grimperium_mini'!$A:$A=$A28)*('02_pipeline_grimperium_mini'!$D:$D="AM1"),0)),"")</x:f>
      </x:c>
      <x:c r="T28" t="str">
        <x:f>IFERROR(INDEX('02_pipeline_grimperium_mini'!$H:$H,MATCH(1,('02_pipeline_grimperium_mini'!$A:$A=$A28)*('02_pipeline_grimperium_mini'!$D:$D="PM3"),0)),"")</x:f>
      </x:c>
      <x:c r="U28" t="str">
        <x:f>IFERROR(INDEX('02_pipeline_grimperium_mini'!$H:$H,MATCH(1,('02_pipeline_grimperium_mini'!$A:$A=$A28)*('02_pipeline_grimperium_mini'!$D:$D="PM7"),0)),"")</x:f>
      </x:c>
      <x:c r="V28" t="str"/>
    </x:row>
    <x:row r="29">
      <x:c r="A29" t="str">
        <x:v>cbt_025</x:v>
      </x:c>
      <x:c r="B29" t="str">
        <x:v>Methyl heptanoate</x:v>
      </x:c>
      <x:c r="C29" t="str">
        <x:v>CCCCCCC(=O)OC</x:v>
      </x:c>
      <x:c r="D29" t="str">
        <x:v>Esters</x:v>
      </x:c>
      <x:c r="E29" s="26" t="n">
        <x:v>-515.5</x:v>
      </x:c>
      <x:c r="F29" s="26" t="n">
        <x:v>-525.73</x:v>
      </x:c>
      <x:c r="G29" s="26" t="n">
        <x:v>-523.3689999999999</x:v>
      </x:c>
      <x:c r="H29" s="26" t="n">
        <x:v>-526.9290000000001</x:v>
      </x:c>
      <x:c r="I29" s="26" t="n">
        <x:v>-509.13106</x:v>
      </x:c>
      <x:c r="J29" s="26" t="n">
        <x:f>IF(COUNTIFS('02_pipeline_grimperium_mini'!$A:$A,$A29,'02_pipeline_grimperium_mini'!$D:$D,"AM1",'02_pipeline_grimperium_mini'!$U:$U,"&lt;&gt;")=0,"",SUMIFS('02_pipeline_grimperium_mini'!$U:$U,'02_pipeline_grimperium_mini'!$A:$A,$A29,'02_pipeline_grimperium_mini'!$D:$D,"AM1"))</x:f>
        <x:v>0</x:v>
      </x:c>
      <x:c r="K29" s="26" t="n">
        <x:f>IF(COUNTIFS('02_pipeline_grimperium_mini'!$A:$A,$A29,'02_pipeline_grimperium_mini'!$D:$D,"PM3",'02_pipeline_grimperium_mini'!$U:$U,"&lt;&gt;")=0,"",SUMIFS('02_pipeline_grimperium_mini'!$U:$U,'02_pipeline_grimperium_mini'!$A:$A,$A29,'02_pipeline_grimperium_mini'!$D:$D,"PM3"))</x:f>
        <x:v>0</x:v>
      </x:c>
      <x:c r="L29" s="26" t="n">
        <x:f>IF(COUNTIFS('02_pipeline_grimperium_mini'!$A:$A,$A29,'02_pipeline_grimperium_mini'!$D:$D,"PM7",'02_pipeline_grimperium_mini'!$U:$U,"&lt;&gt;")=0,"",SUMIFS('02_pipeline_grimperium_mini'!$U:$U,'02_pipeline_grimperium_mini'!$A:$A,$A29,'02_pipeline_grimperium_mini'!$D:$D,"PM7"))</x:f>
        <x:v>0</x:v>
      </x:c>
      <x:c r="M29" s="26" t="str">
        <x:f>IF(J29="","",ABS(J29-$E29))</x:f>
      </x:c>
      <x:c r="N29" s="30" t="str">
        <x:f>IF(J29="","",ABS(J29-$E29)/ABS($E29))</x:f>
      </x:c>
      <x:c r="O29" s="26" t="str">
        <x:f>IF(K29="","",ABS(K29-$E29))</x:f>
      </x:c>
      <x:c r="P29" s="30" t="str">
        <x:f>IF(K29="","",ABS(K29-$E29)/ABS($E29))</x:f>
      </x:c>
      <x:c r="Q29" s="26" t="str">
        <x:f>IF(L29="","",ABS(L29-$E29))</x:f>
      </x:c>
      <x:c r="R29" s="30" t="str">
        <x:f>IF(L29="","",ABS(L29-$E29)/ABS($E29))</x:f>
      </x:c>
      <x:c r="S29" t="str">
        <x:f>IFERROR(INDEX('02_pipeline_grimperium_mini'!$H:$H,MATCH(1,('02_pipeline_grimperium_mini'!$A:$A=$A29)*('02_pipeline_grimperium_mini'!$D:$D="AM1"),0)),"")</x:f>
      </x:c>
      <x:c r="T29" t="str">
        <x:f>IFERROR(INDEX('02_pipeline_grimperium_mini'!$H:$H,MATCH(1,('02_pipeline_grimperium_mini'!$A:$A=$A29)*('02_pipeline_grimperium_mini'!$D:$D="PM3"),0)),"")</x:f>
      </x:c>
      <x:c r="U29" t="str">
        <x:f>IFERROR(INDEX('02_pipeline_grimperium_mini'!$H:$H,MATCH(1,('02_pipeline_grimperium_mini'!$A:$A=$A29)*('02_pipeline_grimperium_mini'!$D:$D="PM7"),0)),"")</x:f>
      </x:c>
      <x:c r="V29" t="str"/>
    </x:row>
    <x:row r="30">
      <x:c r="A30" t="str">
        <x:v>cbt_026</x:v>
      </x:c>
      <x:c r="B30" t="str">
        <x:v>Methyl octanoate</x:v>
      </x:c>
      <x:c r="C30" t="str">
        <x:v>CCCCCCCC(=O)OC</x:v>
      </x:c>
      <x:c r="D30" t="str">
        <x:v>Esters</x:v>
      </x:c>
      <x:c r="E30" s="26" t="n">
        <x:v>-533.9</x:v>
      </x:c>
      <x:c r="F30" s="26" t="n">
        <x:v>-546.3700000000001</x:v>
      </x:c>
      <x:c r="G30" s="26" t="n">
        <x:v>-544.132</x:v>
      </x:c>
      <x:c r="H30" s="26" t="n">
        <x:v>-547.758</x:v>
      </x:c>
      <x:c r="I30" s="26" t="n">
        <x:v>-530.5573</x:v>
      </x:c>
      <x:c r="J30" s="26" t="n">
        <x:f>IF(COUNTIFS('02_pipeline_grimperium_mini'!$A:$A,$A30,'02_pipeline_grimperium_mini'!$D:$D,"AM1",'02_pipeline_grimperium_mini'!$U:$U,"&lt;&gt;")=0,"",SUMIFS('02_pipeline_grimperium_mini'!$U:$U,'02_pipeline_grimperium_mini'!$A:$A,$A30,'02_pipeline_grimperium_mini'!$D:$D,"AM1"))</x:f>
        <x:v>0</x:v>
      </x:c>
      <x:c r="K30" s="26" t="n">
        <x:f>IF(COUNTIFS('02_pipeline_grimperium_mini'!$A:$A,$A30,'02_pipeline_grimperium_mini'!$D:$D,"PM3",'02_pipeline_grimperium_mini'!$U:$U,"&lt;&gt;")=0,"",SUMIFS('02_pipeline_grimperium_mini'!$U:$U,'02_pipeline_grimperium_mini'!$A:$A,$A30,'02_pipeline_grimperium_mini'!$D:$D,"PM3"))</x:f>
        <x:v>0</x:v>
      </x:c>
      <x:c r="L30" s="26" t="n">
        <x:f>IF(COUNTIFS('02_pipeline_grimperium_mini'!$A:$A,$A30,'02_pipeline_grimperium_mini'!$D:$D,"PM7",'02_pipeline_grimperium_mini'!$U:$U,"&lt;&gt;")=0,"",SUMIFS('02_pipeline_grimperium_mini'!$U:$U,'02_pipeline_grimperium_mini'!$A:$A,$A30,'02_pipeline_grimperium_mini'!$D:$D,"PM7"))</x:f>
        <x:v>0</x:v>
      </x:c>
      <x:c r="M30" s="26" t="str">
        <x:f>IF(J30="","",ABS(J30-$E30))</x:f>
      </x:c>
      <x:c r="N30" s="30" t="str">
        <x:f>IF(J30="","",ABS(J30-$E30)/ABS($E30))</x:f>
      </x:c>
      <x:c r="O30" s="26" t="str">
        <x:f>IF(K30="","",ABS(K30-$E30))</x:f>
      </x:c>
      <x:c r="P30" s="30" t="str">
        <x:f>IF(K30="","",ABS(K30-$E30)/ABS($E30))</x:f>
      </x:c>
      <x:c r="Q30" s="26" t="str">
        <x:f>IF(L30="","",ABS(L30-$E30))</x:f>
      </x:c>
      <x:c r="R30" s="30" t="str">
        <x:f>IF(L30="","",ABS(L30-$E30)/ABS($E30))</x:f>
      </x:c>
      <x:c r="S30" t="str">
        <x:f>IFERROR(INDEX('02_pipeline_grimperium_mini'!$H:$H,MATCH(1,('02_pipeline_grimperium_mini'!$A:$A=$A30)*('02_pipeline_grimperium_mini'!$D:$D="AM1"),0)),"")</x:f>
      </x:c>
      <x:c r="T30" t="str">
        <x:f>IFERROR(INDEX('02_pipeline_grimperium_mini'!$H:$H,MATCH(1,('02_pipeline_grimperium_mini'!$A:$A=$A30)*('02_pipeline_grimperium_mini'!$D:$D="PM3"),0)),"")</x:f>
      </x:c>
      <x:c r="U30" t="str">
        <x:f>IFERROR(INDEX('02_pipeline_grimperium_mini'!$H:$H,MATCH(1,('02_pipeline_grimperium_mini'!$A:$A=$A30)*('02_pipeline_grimperium_mini'!$D:$D="PM7"),0)),"")</x:f>
      </x:c>
      <x:c r="V30" t="str"/>
    </x:row>
    <x:row r="31">
      <x:c r="A31" t="str">
        <x:v>cbt_027</x:v>
      </x:c>
      <x:c r="B31" t="str">
        <x:v>Methyl Dodecanoate</x:v>
      </x:c>
      <x:c r="C31" t="str">
        <x:v>CCCCCCCCCCCC(=O)OC</x:v>
      </x:c>
      <x:c r="D31" t="str">
        <x:v>Esters</x:v>
      </x:c>
      <x:c r="E31" s="26" t="n">
        <x:v>-617.9</x:v>
      </x:c>
      <x:c r="F31" s="26" t="n">
        <x:v>-628.9300000000001</x:v>
      </x:c>
      <x:c r="G31" s="26" t="n">
        <x:v>-627.184</x:v>
      </x:c>
      <x:c r="H31" s="26" t="n">
        <x:v>-631.0740000000001</x:v>
      </x:c>
      <x:c r="I31" s="26" t="n">
        <x:v>-615.92062</x:v>
      </x:c>
      <x:c r="J31" s="26" t="n">
        <x:f>IF(COUNTIFS('02_pipeline_grimperium_mini'!$A:$A,$A31,'02_pipeline_grimperium_mini'!$D:$D,"AM1",'02_pipeline_grimperium_mini'!$U:$U,"&lt;&gt;")=0,"",SUMIFS('02_pipeline_grimperium_mini'!$U:$U,'02_pipeline_grimperium_mini'!$A:$A,$A31,'02_pipeline_grimperium_mini'!$D:$D,"AM1"))</x:f>
        <x:v>0</x:v>
      </x:c>
      <x:c r="K31" s="26" t="n">
        <x:f>IF(COUNTIFS('02_pipeline_grimperium_mini'!$A:$A,$A31,'02_pipeline_grimperium_mini'!$D:$D,"PM3",'02_pipeline_grimperium_mini'!$U:$U,"&lt;&gt;")=0,"",SUMIFS('02_pipeline_grimperium_mini'!$U:$U,'02_pipeline_grimperium_mini'!$A:$A,$A31,'02_pipeline_grimperium_mini'!$D:$D,"PM3"))</x:f>
        <x:v>0</x:v>
      </x:c>
      <x:c r="L31" s="26" t="n">
        <x:f>IF(COUNTIFS('02_pipeline_grimperium_mini'!$A:$A,$A31,'02_pipeline_grimperium_mini'!$D:$D,"PM7",'02_pipeline_grimperium_mini'!$U:$U,"&lt;&gt;")=0,"",SUMIFS('02_pipeline_grimperium_mini'!$U:$U,'02_pipeline_grimperium_mini'!$A:$A,$A31,'02_pipeline_grimperium_mini'!$D:$D,"PM7"))</x:f>
        <x:v>0</x:v>
      </x:c>
      <x:c r="M31" s="26" t="str">
        <x:f>IF(J31="","",ABS(J31-$E31))</x:f>
      </x:c>
      <x:c r="N31" s="30" t="str">
        <x:f>IF(J31="","",ABS(J31-$E31)/ABS($E31))</x:f>
      </x:c>
      <x:c r="O31" s="26" t="str">
        <x:f>IF(K31="","",ABS(K31-$E31))</x:f>
      </x:c>
      <x:c r="P31" s="30" t="str">
        <x:f>IF(K31="","",ABS(K31-$E31)/ABS($E31))</x:f>
      </x:c>
      <x:c r="Q31" s="26" t="str">
        <x:f>IF(L31="","",ABS(L31-$E31))</x:f>
      </x:c>
      <x:c r="R31" s="30" t="str">
        <x:f>IF(L31="","",ABS(L31-$E31)/ABS($E31))</x:f>
      </x:c>
      <x:c r="S31" t="str">
        <x:f>IFERROR(INDEX('02_pipeline_grimperium_mini'!$H:$H,MATCH(1,('02_pipeline_grimperium_mini'!$A:$A=$A31)*('02_pipeline_grimperium_mini'!$D:$D="AM1"),0)),"")</x:f>
      </x:c>
      <x:c r="T31" t="str">
        <x:f>IFERROR(INDEX('02_pipeline_grimperium_mini'!$H:$H,MATCH(1,('02_pipeline_grimperium_mini'!$A:$A=$A31)*('02_pipeline_grimperium_mini'!$D:$D="PM3"),0)),"")</x:f>
      </x:c>
      <x:c r="U31" t="str">
        <x:f>IFERROR(INDEX('02_pipeline_grimperium_mini'!$H:$H,MATCH(1,('02_pipeline_grimperium_mini'!$A:$A=$A31)*('02_pipeline_grimperium_mini'!$D:$D="PM7"),0)),"")</x:f>
      </x:c>
      <x:c r="V31" t="str"/>
    </x:row>
    <x:row r="32">
      <x:c r="A32" t="str">
        <x:v>cbt_028</x:v>
      </x:c>
      <x:c r="B32" t="str">
        <x:v>Methyl Tetradecanoate</x:v>
      </x:c>
      <x:c r="C32" t="str">
        <x:v>CCCCCCCCCCCCCC(=O)OC</x:v>
      </x:c>
      <x:c r="D32" t="str">
        <x:v>Esters</x:v>
      </x:c>
      <x:c r="E32" s="26" t="n">
        <x:v>-656.9</x:v>
      </x:c>
      <x:c r="F32" s="26" t="n">
        <x:v>-670.21</x:v>
      </x:c>
      <x:c r="G32" s="26" t="n">
        <x:v>-668.71</x:v>
      </x:c>
      <x:c r="H32" s="26" t="n">
        <x:v>-672.732</x:v>
      </x:c>
      <x:c r="I32" s="26" t="n">
        <x:v>-656.87245</x:v>
      </x:c>
      <x:c r="J32" s="26" t="n">
        <x:f>IF(COUNTIFS('02_pipeline_grimperium_mini'!$A:$A,$A32,'02_pipeline_grimperium_mini'!$D:$D,"AM1",'02_pipeline_grimperium_mini'!$U:$U,"&lt;&gt;")=0,"",SUMIFS('02_pipeline_grimperium_mini'!$U:$U,'02_pipeline_grimperium_mini'!$A:$A,$A32,'02_pipeline_grimperium_mini'!$D:$D,"AM1"))</x:f>
        <x:v>0</x:v>
      </x:c>
      <x:c r="K32" s="26" t="n">
        <x:f>IF(COUNTIFS('02_pipeline_grimperium_mini'!$A:$A,$A32,'02_pipeline_grimperium_mini'!$D:$D,"PM3",'02_pipeline_grimperium_mini'!$U:$U,"&lt;&gt;")=0,"",SUMIFS('02_pipeline_grimperium_mini'!$U:$U,'02_pipeline_grimperium_mini'!$A:$A,$A32,'02_pipeline_grimperium_mini'!$D:$D,"PM3"))</x:f>
        <x:v>0</x:v>
      </x:c>
      <x:c r="L32" s="26" t="n">
        <x:f>IF(COUNTIFS('02_pipeline_grimperium_mini'!$A:$A,$A32,'02_pipeline_grimperium_mini'!$D:$D,"PM7",'02_pipeline_grimperium_mini'!$U:$U,"&lt;&gt;")=0,"",SUMIFS('02_pipeline_grimperium_mini'!$U:$U,'02_pipeline_grimperium_mini'!$A:$A,$A32,'02_pipeline_grimperium_mini'!$D:$D,"PM7"))</x:f>
        <x:v>0</x:v>
      </x:c>
      <x:c r="M32" s="26" t="str">
        <x:f>IF(J32="","",ABS(J32-$E32))</x:f>
      </x:c>
      <x:c r="N32" s="30" t="str">
        <x:f>IF(J32="","",ABS(J32-$E32)/ABS($E32))</x:f>
      </x:c>
      <x:c r="O32" s="26" t="str">
        <x:f>IF(K32="","",ABS(K32-$E32))</x:f>
      </x:c>
      <x:c r="P32" s="30" t="str">
        <x:f>IF(K32="","",ABS(K32-$E32)/ABS($E32))</x:f>
      </x:c>
      <x:c r="Q32" s="26" t="str">
        <x:f>IF(L32="","",ABS(L32-$E32))</x:f>
      </x:c>
      <x:c r="R32" s="30" t="str">
        <x:f>IF(L32="","",ABS(L32-$E32)/ABS($E32))</x:f>
      </x:c>
      <x:c r="S32" t="str">
        <x:f>IFERROR(INDEX('02_pipeline_grimperium_mini'!$H:$H,MATCH(1,('02_pipeline_grimperium_mini'!$A:$A=$A32)*('02_pipeline_grimperium_mini'!$D:$D="AM1"),0)),"")</x:f>
      </x:c>
      <x:c r="T32" t="str">
        <x:f>IFERROR(INDEX('02_pipeline_grimperium_mini'!$H:$H,MATCH(1,('02_pipeline_grimperium_mini'!$A:$A=$A32)*('02_pipeline_grimperium_mini'!$D:$D="PM3"),0)),"")</x:f>
      </x:c>
      <x:c r="U32" t="str">
        <x:f>IFERROR(INDEX('02_pipeline_grimperium_mini'!$H:$H,MATCH(1,('02_pipeline_grimperium_mini'!$A:$A=$A32)*('02_pipeline_grimperium_mini'!$D:$D="PM7"),0)),"")</x:f>
      </x:c>
      <x:c r="V32" t="str"/>
    </x:row>
    <x:row r="33">
      <x:c r="A33" t="str">
        <x:v>cbt_029</x:v>
      </x:c>
      <x:c r="B33" t="str">
        <x:v>Methyl Hexadecanoate</x:v>
      </x:c>
      <x:c r="C33" t="str">
        <x:v>CCCCCCCCCCCCCCCC(=O)OC</x:v>
      </x:c>
      <x:c r="D33" t="str">
        <x:v>Esters</x:v>
      </x:c>
      <x:c r="E33" s="26" t="n">
        <x:v>-665.6</x:v>
      </x:c>
      <x:c r="F33" s="26" t="n">
        <x:v>-711.49</x:v>
      </x:c>
      <x:c r="G33" s="26" t="n">
        <x:v>-710.236</x:v>
      </x:c>
      <x:c r="H33" s="26" t="n">
        <x:v>-714.3900000000001</x:v>
      </x:c>
      <x:c r="I33" s="26" t="n">
        <x:v>-698.10851</x:v>
      </x:c>
      <x:c r="J33" s="26" t="n">
        <x:f>IF(COUNTIFS('02_pipeline_grimperium_mini'!$A:$A,$A33,'02_pipeline_grimperium_mini'!$D:$D,"AM1",'02_pipeline_grimperium_mini'!$U:$U,"&lt;&gt;")=0,"",SUMIFS('02_pipeline_grimperium_mini'!$U:$U,'02_pipeline_grimperium_mini'!$A:$A,$A33,'02_pipeline_grimperium_mini'!$D:$D,"AM1"))</x:f>
        <x:v>0</x:v>
      </x:c>
      <x:c r="K33" s="26" t="n">
        <x:f>IF(COUNTIFS('02_pipeline_grimperium_mini'!$A:$A,$A33,'02_pipeline_grimperium_mini'!$D:$D,"PM3",'02_pipeline_grimperium_mini'!$U:$U,"&lt;&gt;")=0,"",SUMIFS('02_pipeline_grimperium_mini'!$U:$U,'02_pipeline_grimperium_mini'!$A:$A,$A33,'02_pipeline_grimperium_mini'!$D:$D,"PM3"))</x:f>
        <x:v>0</x:v>
      </x:c>
      <x:c r="L33" s="26" t="n">
        <x:f>IF(COUNTIFS('02_pipeline_grimperium_mini'!$A:$A,$A33,'02_pipeline_grimperium_mini'!$D:$D,"PM7",'02_pipeline_grimperium_mini'!$U:$U,"&lt;&gt;")=0,"",SUMIFS('02_pipeline_grimperium_mini'!$U:$U,'02_pipeline_grimperium_mini'!$A:$A,$A33,'02_pipeline_grimperium_mini'!$D:$D,"PM7"))</x:f>
        <x:v>0</x:v>
      </x:c>
      <x:c r="M33" s="26" t="str">
        <x:f>IF(J33="","",ABS(J33-$E33))</x:f>
      </x:c>
      <x:c r="N33" s="30" t="str">
        <x:f>IF(J33="","",ABS(J33-$E33)/ABS($E33))</x:f>
      </x:c>
      <x:c r="O33" s="26" t="str">
        <x:f>IF(K33="","",ABS(K33-$E33))</x:f>
      </x:c>
      <x:c r="P33" s="30" t="str">
        <x:f>IF(K33="","",ABS(K33-$E33)/ABS($E33))</x:f>
      </x:c>
      <x:c r="Q33" s="26" t="str">
        <x:f>IF(L33="","",ABS(L33-$E33))</x:f>
      </x:c>
      <x:c r="R33" s="30" t="str">
        <x:f>IF(L33="","",ABS(L33-$E33)/ABS($E33))</x:f>
      </x:c>
      <x:c r="S33" t="str">
        <x:f>IFERROR(INDEX('02_pipeline_grimperium_mini'!$H:$H,MATCH(1,('02_pipeline_grimperium_mini'!$A:$A=$A33)*('02_pipeline_grimperium_mini'!$D:$D="AM1"),0)),"")</x:f>
      </x:c>
      <x:c r="T33" t="str">
        <x:f>IFERROR(INDEX('02_pipeline_grimperium_mini'!$H:$H,MATCH(1,('02_pipeline_grimperium_mini'!$A:$A=$A33)*('02_pipeline_grimperium_mini'!$D:$D="PM3"),0)),"")</x:f>
      </x:c>
      <x:c r="U33" t="str">
        <x:f>IFERROR(INDEX('02_pipeline_grimperium_mini'!$H:$H,MATCH(1,('02_pipeline_grimperium_mini'!$A:$A=$A33)*('02_pipeline_grimperium_mini'!$D:$D="PM7"),0)),"")</x:f>
      </x:c>
      <x:c r="V33" t="str"/>
    </x:row>
    <x:row r="34">
      <x:c r="A34" t="str">
        <x:v>cbt_030</x:v>
      </x:c>
      <x:c r="B34" t="str">
        <x:v>Triacetin</x:v>
      </x:c>
      <x:c r="C34" t="str">
        <x:v>CC(=O)OCC(COC(C)=O)OC(C)=O</x:v>
      </x:c>
      <x:c r="D34" t="str">
        <x:v>Triglycerides</x:v>
      </x:c>
      <x:c r="E34" s="26" t="n">
        <x:v>-1245</x:v>
      </x:c>
      <x:c r="F34" s="26" t="n">
        <x:v>-1186.21</x:v>
      </x:c>
      <x:c r="G34" s="26" t="n">
        <x:v>-1193.078</x:v>
      </x:c>
      <x:c r="H34" s="26" t="n">
        <x:v>-1202.397</x:v>
      </x:c>
      <x:c r="I34" s="26" t="n">
        <x:v>-1190.81269</x:v>
      </x:c>
      <x:c r="J34" s="26" t="n">
        <x:f>IF(COUNTIFS('02_pipeline_grimperium_mini'!$A:$A,$A34,'02_pipeline_grimperium_mini'!$D:$D,"AM1",'02_pipeline_grimperium_mini'!$U:$U,"&lt;&gt;")=0,"",SUMIFS('02_pipeline_grimperium_mini'!$U:$U,'02_pipeline_grimperium_mini'!$A:$A,$A34,'02_pipeline_grimperium_mini'!$D:$D,"AM1"))</x:f>
        <x:v>0</x:v>
      </x:c>
      <x:c r="K34" s="26" t="n">
        <x:f>IF(COUNTIFS('02_pipeline_grimperium_mini'!$A:$A,$A34,'02_pipeline_grimperium_mini'!$D:$D,"PM3",'02_pipeline_grimperium_mini'!$U:$U,"&lt;&gt;")=0,"",SUMIFS('02_pipeline_grimperium_mini'!$U:$U,'02_pipeline_grimperium_mini'!$A:$A,$A34,'02_pipeline_grimperium_mini'!$D:$D,"PM3"))</x:f>
        <x:v>0</x:v>
      </x:c>
      <x:c r="L34" s="26" t="n">
        <x:f>IF(COUNTIFS('02_pipeline_grimperium_mini'!$A:$A,$A34,'02_pipeline_grimperium_mini'!$D:$D,"PM7",'02_pipeline_grimperium_mini'!$U:$U,"&lt;&gt;")=0,"",SUMIFS('02_pipeline_grimperium_mini'!$U:$U,'02_pipeline_grimperium_mini'!$A:$A,$A34,'02_pipeline_grimperium_mini'!$D:$D,"PM7"))</x:f>
        <x:v>0</x:v>
      </x:c>
      <x:c r="M34" s="26" t="str">
        <x:f>IF(J34="","",ABS(J34-$E34))</x:f>
      </x:c>
      <x:c r="N34" s="30" t="str">
        <x:f>IF(J34="","",ABS(J34-$E34)/ABS($E34))</x:f>
      </x:c>
      <x:c r="O34" s="26" t="str">
        <x:f>IF(K34="","",ABS(K34-$E34))</x:f>
      </x:c>
      <x:c r="P34" s="30" t="str">
        <x:f>IF(K34="","",ABS(K34-$E34)/ABS($E34))</x:f>
      </x:c>
      <x:c r="Q34" s="26" t="str">
        <x:f>IF(L34="","",ABS(L34-$E34))</x:f>
      </x:c>
      <x:c r="R34" s="30" t="str">
        <x:f>IF(L34="","",ABS(L34-$E34)/ABS($E34))</x:f>
      </x:c>
      <x:c r="S34" t="str">
        <x:f>IFERROR(INDEX('02_pipeline_grimperium_mini'!$H:$H,MATCH(1,('02_pipeline_grimperium_mini'!$A:$A=$A34)*('02_pipeline_grimperium_mini'!$D:$D="AM1"),0)),"")</x:f>
      </x:c>
      <x:c r="T34" t="str">
        <x:f>IFERROR(INDEX('02_pipeline_grimperium_mini'!$H:$H,MATCH(1,('02_pipeline_grimperium_mini'!$A:$A=$A34)*('02_pipeline_grimperium_mini'!$D:$D="PM3"),0)),"")</x:f>
      </x:c>
      <x:c r="U34" t="str">
        <x:f>IFERROR(INDEX('02_pipeline_grimperium_mini'!$H:$H,MATCH(1,('02_pipeline_grimperium_mini'!$A:$A=$A34)*('02_pipeline_grimperium_mini'!$D:$D="PM7"),0)),"")</x:f>
      </x:c>
      <x:c r="V34" t="str"/>
    </x:row>
    <x:row r="35">
      <x:c r="A35" t="str">
        <x:v>cbt_031</x:v>
      </x:c>
      <x:c r="B35" t="str">
        <x:v>Tributyrin</x:v>
      </x:c>
      <x:c r="C35" t="str">
        <x:v>CCCC(=O)OCC(COC(=O)CCC)OC(=O)CCC</x:v>
      </x:c>
      <x:c r="D35" t="str">
        <x:v>Triglycerides</x:v>
      </x:c>
      <x:c r="E35" s="26" t="n">
        <x:v>-1388.9</x:v>
      </x:c>
      <x:c r="F35" s="26" t="n">
        <x:v>-1310.0500000000002</x:v>
      </x:c>
      <x:c r="G35" s="26" t="n">
        <x:v>-1312.3609999999999</x:v>
      </x:c>
      <x:c r="H35" s="26" t="n">
        <x:v>-1325.767</x:v>
      </x:c>
      <x:c r="I35" s="26" t="n">
        <x:v>-1303.39424</x:v>
      </x:c>
      <x:c r="J35" s="26" t="n">
        <x:f>IF(COUNTIFS('02_pipeline_grimperium_mini'!$A:$A,$A35,'02_pipeline_grimperium_mini'!$D:$D,"AM1",'02_pipeline_grimperium_mini'!$U:$U,"&lt;&gt;")=0,"",SUMIFS('02_pipeline_grimperium_mini'!$U:$U,'02_pipeline_grimperium_mini'!$A:$A,$A35,'02_pipeline_grimperium_mini'!$D:$D,"AM1"))</x:f>
        <x:v>0</x:v>
      </x:c>
      <x:c r="K35" s="26" t="n">
        <x:f>IF(COUNTIFS('02_pipeline_grimperium_mini'!$A:$A,$A35,'02_pipeline_grimperium_mini'!$D:$D,"PM3",'02_pipeline_grimperium_mini'!$U:$U,"&lt;&gt;")=0,"",SUMIFS('02_pipeline_grimperium_mini'!$U:$U,'02_pipeline_grimperium_mini'!$A:$A,$A35,'02_pipeline_grimperium_mini'!$D:$D,"PM3"))</x:f>
        <x:v>0</x:v>
      </x:c>
      <x:c r="L35" s="26" t="n">
        <x:f>IF(COUNTIFS('02_pipeline_grimperium_mini'!$A:$A,$A35,'02_pipeline_grimperium_mini'!$D:$D,"PM7",'02_pipeline_grimperium_mini'!$U:$U,"&lt;&gt;")=0,"",SUMIFS('02_pipeline_grimperium_mini'!$U:$U,'02_pipeline_grimperium_mini'!$A:$A,$A35,'02_pipeline_grimperium_mini'!$D:$D,"PM7"))</x:f>
        <x:v>0</x:v>
      </x:c>
      <x:c r="M35" s="26" t="str">
        <x:f>IF(J35="","",ABS(J35-$E35))</x:f>
      </x:c>
      <x:c r="N35" s="30" t="str">
        <x:f>IF(J35="","",ABS(J35-$E35)/ABS($E35))</x:f>
      </x:c>
      <x:c r="O35" s="26" t="str">
        <x:f>IF(K35="","",ABS(K35-$E35))</x:f>
      </x:c>
      <x:c r="P35" s="30" t="str">
        <x:f>IF(K35="","",ABS(K35-$E35)/ABS($E35))</x:f>
      </x:c>
      <x:c r="Q35" s="26" t="str">
        <x:f>IF(L35="","",ABS(L35-$E35))</x:f>
      </x:c>
      <x:c r="R35" s="30" t="str">
        <x:f>IF(L35="","",ABS(L35-$E35)/ABS($E35))</x:f>
      </x:c>
      <x:c r="S35" t="str">
        <x:f>IFERROR(INDEX('02_pipeline_grimperium_mini'!$H:$H,MATCH(1,('02_pipeline_grimperium_mini'!$A:$A=$A35)*('02_pipeline_grimperium_mini'!$D:$D="AM1"),0)),"")</x:f>
      </x:c>
      <x:c r="T35" t="str">
        <x:f>IFERROR(INDEX('02_pipeline_grimperium_mini'!$H:$H,MATCH(1,('02_pipeline_grimperium_mini'!$A:$A=$A35)*('02_pipeline_grimperium_mini'!$D:$D="PM3"),0)),"")</x:f>
      </x:c>
      <x:c r="U35" t="str">
        <x:f>IFERROR(INDEX('02_pipeline_grimperium_mini'!$H:$H,MATCH(1,('02_pipeline_grimperium_mini'!$A:$A=$A35)*('02_pipeline_grimperium_mini'!$D:$D="PM7"),0)),"")</x:f>
      </x:c>
      <x:c r="V35" t="str"/>
    </x:row>
    <x:row r="36">
      <x:c r="A36" t="str">
        <x:v>cbt_032</x:v>
      </x:c>
      <x:c r="B36" t="str">
        <x:v>Trilaurin</x:v>
      </x:c>
      <x:c r="C36" t="str">
        <x:v>CCCCCCCCCCCC(=O)OCC(COC(=O)CCCCCCCCCCC)OC(=O)CCCCCCCCCCC</x:v>
      </x:c>
      <x:c r="D36" t="str">
        <x:v>Triglycerides</x:v>
      </x:c>
      <x:c r="E36" s="26" t="n">
        <x:v>-1887.4899999999998</x:v>
      </x:c>
      <x:c r="F36" s="26" t="n">
        <x:v>-1805.41</x:v>
      </x:c>
      <x:c r="G36" s="26" t="n">
        <x:v>-1810.6729999999998</x:v>
      </x:c>
      <x:c r="H36" s="26" t="n">
        <x:v>-1825.663</x:v>
      </x:c>
      <x:c r="I36" s="26" t="n">
        <x:v>-1824.35589</x:v>
      </x:c>
      <x:c r="J36" s="26" t="n">
        <x:f>IF(COUNTIFS('02_pipeline_grimperium_mini'!$A:$A,$A36,'02_pipeline_grimperium_mini'!$D:$D,"AM1",'02_pipeline_grimperium_mini'!$U:$U,"&lt;&gt;")=0,"",SUMIFS('02_pipeline_grimperium_mini'!$U:$U,'02_pipeline_grimperium_mini'!$A:$A,$A36,'02_pipeline_grimperium_mini'!$D:$D,"AM1"))</x:f>
        <x:v>0</x:v>
      </x:c>
      <x:c r="K36" s="26" t="n">
        <x:f>IF(COUNTIFS('02_pipeline_grimperium_mini'!$A:$A,$A36,'02_pipeline_grimperium_mini'!$D:$D,"PM3",'02_pipeline_grimperium_mini'!$U:$U,"&lt;&gt;")=0,"",SUMIFS('02_pipeline_grimperium_mini'!$U:$U,'02_pipeline_grimperium_mini'!$A:$A,$A36,'02_pipeline_grimperium_mini'!$D:$D,"PM3"))</x:f>
        <x:v>0</x:v>
      </x:c>
      <x:c r="L36" s="26" t="n">
        <x:f>IF(COUNTIFS('02_pipeline_grimperium_mini'!$A:$A,$A36,'02_pipeline_grimperium_mini'!$D:$D,"PM7",'02_pipeline_grimperium_mini'!$U:$U,"&lt;&gt;")=0,"",SUMIFS('02_pipeline_grimperium_mini'!$U:$U,'02_pipeline_grimperium_mini'!$A:$A,$A36,'02_pipeline_grimperium_mini'!$D:$D,"PM7"))</x:f>
        <x:v>0</x:v>
      </x:c>
      <x:c r="M36" s="26" t="str">
        <x:f>IF(J36="","",ABS(J36-$E36))</x:f>
      </x:c>
      <x:c r="N36" s="30" t="str">
        <x:f>IF(J36="","",ABS(J36-$E36)/ABS($E36))</x:f>
      </x:c>
      <x:c r="O36" s="26" t="str">
        <x:f>IF(K36="","",ABS(K36-$E36))</x:f>
      </x:c>
      <x:c r="P36" s="30" t="str">
        <x:f>IF(K36="","",ABS(K36-$E36)/ABS($E36))</x:f>
      </x:c>
      <x:c r="Q36" s="26" t="str">
        <x:f>IF(L36="","",ABS(L36-$E36))</x:f>
      </x:c>
      <x:c r="R36" s="30" t="str">
        <x:f>IF(L36="","",ABS(L36-$E36)/ABS($E36))</x:f>
      </x:c>
      <x:c r="S36" t="str">
        <x:f>IFERROR(INDEX('02_pipeline_grimperium_mini'!$H:$H,MATCH(1,('02_pipeline_grimperium_mini'!$A:$A=$A36)*('02_pipeline_grimperium_mini'!$D:$D="AM1"),0)),"")</x:f>
      </x:c>
      <x:c r="T36" t="str">
        <x:f>IFERROR(INDEX('02_pipeline_grimperium_mini'!$H:$H,MATCH(1,('02_pipeline_grimperium_mini'!$A:$A=$A36)*('02_pipeline_grimperium_mini'!$D:$D="PM3"),0)),"")</x:f>
      </x:c>
      <x:c r="U36" t="str">
        <x:f>IFERROR(INDEX('02_pipeline_grimperium_mini'!$H:$H,MATCH(1,('02_pipeline_grimperium_mini'!$A:$A=$A36)*('02_pipeline_grimperium_mini'!$D:$D="PM7"),0)),"")</x:f>
      </x:c>
      <x:c r="V36" t="str"/>
    </x:row>
    <x:row r="37">
      <x:c r="A37" t="str">
        <x:v>cbt_033</x:v>
      </x:c>
      <x:c r="B37" t="str">
        <x:v>Trimyristin</x:v>
      </x:c>
      <x:c r="C37" t="str">
        <x:v>CCCCCCCCCCCCCC(=O)OCC(COC(=O)CCCCCCCCCCCCC)OC(=O)CCCCCCCCCCCCC</x:v>
      </x:c>
      <x:c r="D37" t="str">
        <x:v>Triglycerides</x:v>
      </x:c>
      <x:c r="E37" s="26" t="n">
        <x:v>-2003.6000000000001</x:v>
      </x:c>
      <x:c r="F37" s="26" t="n">
        <x:v>-1929.25</x:v>
      </x:c>
      <x:c r="G37" s="26" t="n">
        <x:v>-1935.2509999999997</x:v>
      </x:c>
      <x:c r="H37" s="26" t="n">
        <x:v>-1950.6370000000002</x:v>
      </x:c>
      <x:c r="I37" s="26" t="n">
        <x:v>-1955.36378</x:v>
      </x:c>
      <x:c r="J37" s="26" t="n">
        <x:f>IF(COUNTIFS('02_pipeline_grimperium_mini'!$A:$A,$A37,'02_pipeline_grimperium_mini'!$D:$D,"AM1",'02_pipeline_grimperium_mini'!$U:$U,"&lt;&gt;")=0,"",SUMIFS('02_pipeline_grimperium_mini'!$U:$U,'02_pipeline_grimperium_mini'!$A:$A,$A37,'02_pipeline_grimperium_mini'!$D:$D,"AM1"))</x:f>
        <x:v>0</x:v>
      </x:c>
      <x:c r="K37" s="26" t="n">
        <x:f>IF(COUNTIFS('02_pipeline_grimperium_mini'!$A:$A,$A37,'02_pipeline_grimperium_mini'!$D:$D,"PM3",'02_pipeline_grimperium_mini'!$U:$U,"&lt;&gt;")=0,"",SUMIFS('02_pipeline_grimperium_mini'!$U:$U,'02_pipeline_grimperium_mini'!$A:$A,$A37,'02_pipeline_grimperium_mini'!$D:$D,"PM3"))</x:f>
        <x:v>0</x:v>
      </x:c>
      <x:c r="L37" s="26" t="n">
        <x:f>IF(COUNTIFS('02_pipeline_grimperium_mini'!$A:$A,$A37,'02_pipeline_grimperium_mini'!$D:$D,"PM7",'02_pipeline_grimperium_mini'!$U:$U,"&lt;&gt;")=0,"",SUMIFS('02_pipeline_grimperium_mini'!$U:$U,'02_pipeline_grimperium_mini'!$A:$A,$A37,'02_pipeline_grimperium_mini'!$D:$D,"PM7"))</x:f>
        <x:v>0</x:v>
      </x:c>
      <x:c r="M37" s="26" t="str">
        <x:f>IF(J37="","",ABS(J37-$E37))</x:f>
      </x:c>
      <x:c r="N37" s="30" t="str">
        <x:f>IF(J37="","",ABS(J37-$E37)/ABS($E37))</x:f>
      </x:c>
      <x:c r="O37" s="26" t="str">
        <x:f>IF(K37="","",ABS(K37-$E37))</x:f>
      </x:c>
      <x:c r="P37" s="30" t="str">
        <x:f>IF(K37="","",ABS(K37-$E37)/ABS($E37))</x:f>
      </x:c>
      <x:c r="Q37" s="26" t="str">
        <x:f>IF(L37="","",ABS(L37-$E37))</x:f>
      </x:c>
      <x:c r="R37" s="30" t="str">
        <x:f>IF(L37="","",ABS(L37-$E37)/ABS($E37))</x:f>
      </x:c>
      <x:c r="S37" t="str">
        <x:f>IFERROR(INDEX('02_pipeline_grimperium_mini'!$H:$H,MATCH(1,('02_pipeline_grimperium_mini'!$A:$A=$A37)*('02_pipeline_grimperium_mini'!$D:$D="AM1"),0)),"")</x:f>
      </x:c>
      <x:c r="T37" t="str">
        <x:f>IFERROR(INDEX('02_pipeline_grimperium_mini'!$H:$H,MATCH(1,('02_pipeline_grimperium_mini'!$A:$A=$A37)*('02_pipeline_grimperium_mini'!$D:$D="PM3"),0)),"")</x:f>
      </x:c>
      <x:c r="U37" t="str">
        <x:f>IFERROR(INDEX('02_pipeline_grimperium_mini'!$H:$H,MATCH(1,('02_pipeline_grimperium_mini'!$A:$A=$A37)*('02_pipeline_grimperium_mini'!$D:$D="PM7"),0)),"")</x:f>
      </x:c>
      <x:c r="V37" t="str"/>
    </x:row>
    <x:row r="38">
      <x:c r="A38" t="str">
        <x:v>cbt_034</x:v>
      </x:c>
      <x:c r="B38" t="str">
        <x:v>Tripalmitin</x:v>
      </x:c>
      <x:c r="C38" t="str">
        <x:v>CCCCCCCCCCCCCCCC(=O)OCC(COC(=O)CCCCCCCCCCCCCCC)OC(=O)CCCCCCCCCCCCCCC</x:v>
      </x:c>
      <x:c r="D38" t="str">
        <x:v>Triglycerides</x:v>
      </x:c>
      <x:c r="E38" s="26" t="n">
        <x:v>-2089</x:v>
      </x:c>
      <x:c r="F38" s="26" t="n">
        <x:v>-2053.09</x:v>
      </x:c>
      <x:c r="G38" s="26" t="n">
        <x:v>-2059.8289999999997</x:v>
      </x:c>
      <x:c r="H38" s="26" t="n">
        <x:v>-2075.611</x:v>
      </x:c>
      <x:c r="I38" s="26" t="n">
        <x:v>-2082.95641</x:v>
      </x:c>
      <x:c r="J38" s="26" t="n">
        <x:f>IF(COUNTIFS('02_pipeline_grimperium_mini'!$A:$A,$A38,'02_pipeline_grimperium_mini'!$D:$D,"AM1",'02_pipeline_grimperium_mini'!$U:$U,"&lt;&gt;")=0,"",SUMIFS('02_pipeline_grimperium_mini'!$U:$U,'02_pipeline_grimperium_mini'!$A:$A,$A38,'02_pipeline_grimperium_mini'!$D:$D,"AM1"))</x:f>
        <x:v>0</x:v>
      </x:c>
      <x:c r="K38" s="26" t="n">
        <x:f>IF(COUNTIFS('02_pipeline_grimperium_mini'!$A:$A,$A38,'02_pipeline_grimperium_mini'!$D:$D,"PM3",'02_pipeline_grimperium_mini'!$U:$U,"&lt;&gt;")=0,"",SUMIFS('02_pipeline_grimperium_mini'!$U:$U,'02_pipeline_grimperium_mini'!$A:$A,$A38,'02_pipeline_grimperium_mini'!$D:$D,"PM3"))</x:f>
        <x:v>0</x:v>
      </x:c>
      <x:c r="L38" s="26" t="n">
        <x:f>IF(COUNTIFS('02_pipeline_grimperium_mini'!$A:$A,$A38,'02_pipeline_grimperium_mini'!$D:$D,"PM7",'02_pipeline_grimperium_mini'!$U:$U,"&lt;&gt;")=0,"",SUMIFS('02_pipeline_grimperium_mini'!$U:$U,'02_pipeline_grimperium_mini'!$A:$A,$A38,'02_pipeline_grimperium_mini'!$D:$D,"PM7"))</x:f>
        <x:v>0</x:v>
      </x:c>
      <x:c r="M38" s="26" t="str">
        <x:f>IF(J38="","",ABS(J38-$E38))</x:f>
      </x:c>
      <x:c r="N38" s="30" t="str">
        <x:f>IF(J38="","",ABS(J38-$E38)/ABS($E38))</x:f>
      </x:c>
      <x:c r="O38" s="26" t="str">
        <x:f>IF(K38="","",ABS(K38-$E38))</x:f>
      </x:c>
      <x:c r="P38" s="30" t="str">
        <x:f>IF(K38="","",ABS(K38-$E38)/ABS($E38))</x:f>
      </x:c>
      <x:c r="Q38" s="26" t="str">
        <x:f>IF(L38="","",ABS(L38-$E38))</x:f>
      </x:c>
      <x:c r="R38" s="30" t="str">
        <x:f>IF(L38="","",ABS(L38-$E38)/ABS($E38))</x:f>
      </x:c>
      <x:c r="S38" t="str">
        <x:f>IFERROR(INDEX('02_pipeline_grimperium_mini'!$H:$H,MATCH(1,('02_pipeline_grimperium_mini'!$A:$A=$A38)*('02_pipeline_grimperium_mini'!$D:$D="AM1"),0)),"")</x:f>
      </x:c>
      <x:c r="T38" t="str">
        <x:f>IFERROR(INDEX('02_pipeline_grimperium_mini'!$H:$H,MATCH(1,('02_pipeline_grimperium_mini'!$A:$A=$A38)*('02_pipeline_grimperium_mini'!$D:$D="PM3"),0)),"")</x:f>
      </x:c>
      <x:c r="U38" t="str">
        <x:f>IFERROR(INDEX('02_pipeline_grimperium_mini'!$H:$H,MATCH(1,('02_pipeline_grimperium_mini'!$A:$A=$A38)*('02_pipeline_grimperium_mini'!$D:$D="PM7"),0)),"")</x:f>
      </x:c>
      <x:c r="V38" t="str"/>
    </x:row>
    <x:row r="39">
      <x:c r="A39" t="str">
        <x:v>cbt_035</x:v>
      </x:c>
      <x:c r="B39" t="str">
        <x:v>Water</x:v>
      </x:c>
      <x:c r="C39" t="str">
        <x:v>O</x:v>
      </x:c>
      <x:c r="D39" t="str">
        <x:v>Auxiliary</x:v>
      </x:c>
      <x:c r="E39" s="26" t="n">
        <x:v>-241.83</x:v>
      </x:c>
      <x:c r="F39" s="26" t="n">
        <x:v>-241.83</x:v>
      </x:c>
      <x:c r="G39" s="26" t="n">
        <x:v>-241.83</x:v>
      </x:c>
      <x:c r="H39" s="26" t="n">
        <x:v>-241.83</x:v>
      </x:c>
      <x:c r="I39" s="26" t="n">
        <x:v>-241.83</x:v>
      </x:c>
      <x:c r="J39" s="26" t="n">
        <x:f>IF(COUNTIFS('02_pipeline_grimperium_mini'!$A:$A,$A39,'02_pipeline_grimperium_mini'!$D:$D,"AM1",'02_pipeline_grimperium_mini'!$U:$U,"&lt;&gt;")=0,"",SUMIFS('02_pipeline_grimperium_mini'!$U:$U,'02_pipeline_grimperium_mini'!$A:$A,$A39,'02_pipeline_grimperium_mini'!$D:$D,"AM1"))</x:f>
        <x:v>0</x:v>
      </x:c>
      <x:c r="K39" s="26" t="n">
        <x:f>IF(COUNTIFS('02_pipeline_grimperium_mini'!$A:$A,$A39,'02_pipeline_grimperium_mini'!$D:$D,"PM3",'02_pipeline_grimperium_mini'!$U:$U,"&lt;&gt;")=0,"",SUMIFS('02_pipeline_grimperium_mini'!$U:$U,'02_pipeline_grimperium_mini'!$A:$A,$A39,'02_pipeline_grimperium_mini'!$D:$D,"PM3"))</x:f>
        <x:v>0</x:v>
      </x:c>
      <x:c r="L39" s="26" t="n">
        <x:f>IF(COUNTIFS('02_pipeline_grimperium_mini'!$A:$A,$A39,'02_pipeline_grimperium_mini'!$D:$D,"PM7",'02_pipeline_grimperium_mini'!$U:$U,"&lt;&gt;")=0,"",SUMIFS('02_pipeline_grimperium_mini'!$U:$U,'02_pipeline_grimperium_mini'!$A:$A,$A39,'02_pipeline_grimperium_mini'!$D:$D,"PM7"))</x:f>
        <x:v>0</x:v>
      </x:c>
      <x:c r="M39" s="26" t="str">
        <x:f>IF(J39="","",ABS(J39-$E39))</x:f>
      </x:c>
      <x:c r="N39" s="30" t="str">
        <x:f>IF(J39="","",ABS(J39-$E39)/ABS($E39))</x:f>
      </x:c>
      <x:c r="O39" s="26" t="str">
        <x:f>IF(K39="","",ABS(K39-$E39))</x:f>
      </x:c>
      <x:c r="P39" s="30" t="str">
        <x:f>IF(K39="","",ABS(K39-$E39)/ABS($E39))</x:f>
      </x:c>
      <x:c r="Q39" s="26" t="str">
        <x:f>IF(L39="","",ABS(L39-$E39))</x:f>
      </x:c>
      <x:c r="R39" s="30" t="str">
        <x:f>IF(L39="","",ABS(L39-$E39)/ABS($E39))</x:f>
      </x:c>
      <x:c r="S39" t="str">
        <x:f>IFERROR(INDEX('02_pipeline_grimperium_mini'!$H:$H,MATCH(1,('02_pipeline_grimperium_mini'!$A:$A=$A39)*('02_pipeline_grimperium_mini'!$D:$D="AM1"),0)),"")</x:f>
      </x:c>
      <x:c r="T39" t="str">
        <x:f>IFERROR(INDEX('02_pipeline_grimperium_mini'!$H:$H,MATCH(1,('02_pipeline_grimperium_mini'!$A:$A=$A39)*('02_pipeline_grimperium_mini'!$D:$D="PM3"),0)),"")</x:f>
      </x:c>
      <x:c r="U39" t="str">
        <x:f>IFERROR(INDEX('02_pipeline_grimperium_mini'!$H:$H,MATCH(1,('02_pipeline_grimperium_mini'!$A:$A=$A39)*('02_pipeline_grimperium_mini'!$D:$D="PM7"),0)),"")</x:f>
      </x:c>
      <x:c r="V39" t="str"/>
    </x:row>
  </x:sheetData>
  <x:mergeCells>
    <x:mergeCell ref="A1:X1"/>
    <x:mergeCell ref="A2:X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56" hidden="0" customWidth="1"/>
    <x:col min="4" max="4" width="22" hidden="0" customWidth="1"/>
    <x:col min="5" max="5" width="18" hidden="0" customWidth="1"/>
    <x:col min="6" max="6" width="24" hidden="0" customWidth="1"/>
    <x:col min="7" max="7" width="20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14" hidden="0" customWidth="1"/>
    <x:col min="13" max="13" width="14" hidden="0" customWidth="1"/>
    <x:col min="14" max="14" width="14" hidden="0" customWidth="1"/>
    <x:col min="15" max="15" width="20" hidden="0" customWidth="1"/>
    <x:col min="16" max="16" width="14" hidden="0" customWidth="1"/>
    <x:col min="17" max="17" width="14" hidden="0" customWidth="1"/>
    <x:col min="18" max="18" width="14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</x:cols>
  <x:sheetData>
    <x:row r="1">
      <x:c r="A1" s="4" t="str">
        <x:v>Entalpias de reação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</x:row>
    <x:row r="2">
      <x:c r="A2" s="10" t="str">
        <x:v>Reações do TCC com fórmulas para recalcular AM1/PM3/PM7 usando os novos Hf do grimperium_mini.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</x:row>
    <x:row r="4">
      <x:c r="A4" s="18" t="str">
        <x:v>reaction_id</x:v>
      </x:c>
      <x:c r="B4" s="18" t="str">
        <x:v>reaction_type</x:v>
      </x:c>
      <x:c r="C4" s="18" t="str">
        <x:v>equation</x:v>
      </x:c>
      <x:c r="D4" s="18" t="str">
        <x:v>compound_A</x:v>
      </x:c>
      <x:c r="E4" s="18" t="str">
        <x:v>compound_B</x:v>
      </x:c>
      <x:c r="F4" s="18" t="str">
        <x:v>compound_C</x:v>
      </x:c>
      <x:c r="G4" s="18" t="str">
        <x:v>compound_D</x:v>
      </x:c>
      <x:c r="H4" s="18" t="str">
        <x:v>coef_a</x:v>
      </x:c>
      <x:c r="I4" s="18" t="str">
        <x:v>coef_b</x:v>
      </x:c>
      <x:c r="J4" s="18" t="str">
        <x:v>coef_c</x:v>
      </x:c>
      <x:c r="K4" s="18" t="str">
        <x:v>coef_d</x:v>
      </x:c>
      <x:c r="L4" s="18" t="str">
        <x:v>Hr_exp_kJmol</x:v>
      </x:c>
      <x:c r="M4" s="18" t="str">
        <x:v>Hr_JR_TCC</x:v>
      </x:c>
      <x:c r="N4" s="18" t="str">
        <x:v>Hr_CG_TCC</x:v>
      </x:c>
      <x:c r="O4" s="18" t="str">
        <x:v>Hr_PM7_TCC_VEGA_MOPAC</x:v>
      </x:c>
      <x:c r="P4" s="18" t="str">
        <x:v>Hr_AM1_CREST</x:v>
      </x:c>
      <x:c r="Q4" s="18" t="str">
        <x:v>Hr_PM3_CREST</x:v>
      </x:c>
      <x:c r="R4" s="18" t="str">
        <x:v>Hr_PM7_CREST</x:v>
      </x:c>
      <x:c r="S4" s="18" t="str">
        <x:v>AD_AM1_CREST</x:v>
      </x:c>
      <x:c r="T4" s="18" t="str">
        <x:v>RD_AM1_CREST_%</x:v>
      </x:c>
      <x:c r="U4" s="18" t="str">
        <x:v>AD_PM3_CREST</x:v>
      </x:c>
      <x:c r="V4" s="18" t="str">
        <x:v>RD_PM3_CREST_%</x:v>
      </x:c>
      <x:c r="W4" s="18" t="str">
        <x:v>AD_PM7_CREST</x:v>
      </x:c>
      <x:c r="X4" s="18" t="str">
        <x:v>RD_PM7_CREST_%</x:v>
      </x:c>
      <x:c r="Y4" s="24"/>
      <x:c r="Z4" s="24"/>
      <x:c r="AA4" s="24"/>
      <x:c r="AB4" s="24"/>
      <x:c r="AC4" s="24"/>
      <x:c r="AD4" s="24"/>
      <x:c r="AE4" s="24"/>
      <x:c r="AF4" s="24"/>
      <x:c r="AG4" s="24"/>
      <x:c r="AH4" s="24"/>
    </x:row>
    <x:row r="5">
      <x:c r="A5" t="str">
        <x:v>R01</x:v>
      </x:c>
      <x:c r="B5" t="str">
        <x:v>Transesterification</x:v>
      </x:c>
      <x:c r="C5" t="str">
        <x:v>Triacetin + 3 CH₃OH → 3 Methyl Acetate + Glycerol</x:v>
      </x:c>
      <x:c r="D5" t="str">
        <x:v>Triacetin</x:v>
      </x:c>
      <x:c r="E5" t="str">
        <x:v>Methanol</x:v>
      </x:c>
      <x:c r="F5" t="str">
        <x:v>Methyl acetate</x:v>
      </x:c>
      <x:c r="G5" t="str">
        <x:v>Glycerol</x:v>
      </x:c>
      <x:c r="H5" t="n">
        <x:v>1</x:v>
      </x:c>
      <x:c r="I5" t="n">
        <x:v>3</x:v>
      </x:c>
      <x:c r="J5" t="n">
        <x:v>3</x:v>
      </x:c>
      <x:c r="K5" t="n">
        <x:v>1</x:v>
      </x:c>
      <x:c r="L5" s="26" t="n">
        <x:v>34.22000000000003</x:v>
      </x:c>
      <x:c r="M5" s="26" t="n">
        <x:v>-2.2737367544323206e-13</x:v>
      </x:c>
      <x:c r="N5" s="26" t="n">
        <x:v>-14.47700000000009</x:v>
      </x:c>
      <x:c r="O5" s="26" t="n">
        <x:v>1.4776699999999892</x:v>
      </x:c>
      <x:c r="P5" s="26" t="n">
        <x:f>IFERROR($J5*XLOOKUP($F5,'03_resultados_formacao'!$B:$B,'03_resultados_formacao'!$J:$J)+$K5*XLOOKUP($G5,'03_resultados_formacao'!$B:$B,'03_resultados_formacao'!$J:$J)-$H5*XLOOKUP($D5,'03_resultados_formacao'!$B:$B,'03_resultados_formacao'!$J:$J)-$I5*XLOOKUP($E5,'03_resultados_formacao'!$B:$B,'03_resultados_formacao'!$J:$J),"")</x:f>
        <x:v>0</x:v>
      </x:c>
      <x:c r="Q5" s="26" t="n">
        <x:f>IFERROR($J5*XLOOKUP($F5,'03_resultados_formacao'!$B:$B,'03_resultados_formacao'!$K:$K)+$K5*XLOOKUP($G5,'03_resultados_formacao'!$B:$B,'03_resultados_formacao'!$K:$K)-$H5*XLOOKUP($D5,'03_resultados_formacao'!$B:$B,'03_resultados_formacao'!$K:$K)-$I5*XLOOKUP($E5,'03_resultados_formacao'!$B:$B,'03_resultados_formacao'!$K:$K),"")</x:f>
        <x:v>0</x:v>
      </x:c>
      <x:c r="R5" s="26" t="n">
        <x:f>IFERROR($J5*XLOOKUP($F5,'03_resultados_formacao'!$B:$B,'03_resultados_formacao'!$L:$L)+$K5*XLOOKUP($G5,'03_resultados_formacao'!$B:$B,'03_resultados_formacao'!$L:$L)-$H5*XLOOKUP($D5,'03_resultados_formacao'!$B:$B,'03_resultados_formacao'!$L:$L)-$I5*XLOOKUP($E5,'03_resultados_formacao'!$B:$B,'03_resultados_formacao'!$L:$L),"")</x:f>
        <x:v>0</x:v>
      </x:c>
      <x:c r="S5" s="26" t="str">
        <x:f>IF(P5="","",ABS(P5-$L5))</x:f>
      </x:c>
      <x:c r="T5" s="30" t="str">
        <x:f>IF(P5="","",ABS(P5-$L5)/ABS($L5))</x:f>
      </x:c>
      <x:c r="U5" s="26" t="str">
        <x:f>IF(Q5="","",ABS(Q5-$L5))</x:f>
      </x:c>
      <x:c r="V5" s="30" t="str">
        <x:f>IF(Q5="","",ABS(Q5-$L5)/ABS($L5))</x:f>
      </x:c>
      <x:c r="W5" s="26" t="str">
        <x:f>IF(R5="","",ABS(R5-$L5))</x:f>
      </x:c>
      <x:c r="X5" s="30" t="str">
        <x:f>IF(R5="","",ABS(R5-$L5)/ABS($L5))</x:f>
      </x:c>
    </x:row>
    <x:row r="6">
      <x:c r="A6" t="str">
        <x:v>R02</x:v>
      </x:c>
      <x:c r="B6" t="str">
        <x:v>Transesterification</x:v>
      </x:c>
      <x:c r="C6" t="str">
        <x:v>Tributyrin + 3 CH₃OH → 3 Methyl Butyrate + Glycerol</x:v>
      </x:c>
      <x:c r="D6" t="str">
        <x:v>Tributyrin</x:v>
      </x:c>
      <x:c r="E6" t="str">
        <x:v>Methanol</x:v>
      </x:c>
      <x:c r="F6" t="str">
        <x:v>Methyl butyrate</x:v>
      </x:c>
      <x:c r="G6" t="str">
        <x:v>Glycerol</x:v>
      </x:c>
      <x:c r="H6" t="n">
        <x:v>1</x:v>
      </x:c>
      <x:c r="I6" t="n">
        <x:v>3</x:v>
      </x:c>
      <x:c r="J6" t="n">
        <x:v>3</x:v>
      </x:c>
      <x:c r="K6" t="n">
        <x:v>1</x:v>
      </x:c>
      <x:c r="L6" s="26" t="n">
        <x:v>61.72000000000003</x:v>
      </x:c>
      <x:c r="M6" s="26" t="n">
        <x:v>0</x:v>
      </x:c>
      <x:c r="N6" s="26" t="n">
        <x:v>-3.887000000000171</x:v>
      </x:c>
      <x:c r="O6" s="26" t="n">
        <x:v>-6.9985499999997955</x:v>
      </x:c>
      <x:c r="P6" s="26" t="n">
        <x:f>IFERROR($J6*XLOOKUP($F6,'03_resultados_formacao'!$B:$B,'03_resultados_formacao'!$J:$J)+$K6*XLOOKUP($G6,'03_resultados_formacao'!$B:$B,'03_resultados_formacao'!$J:$J)-$H6*XLOOKUP($D6,'03_resultados_formacao'!$B:$B,'03_resultados_formacao'!$J:$J)-$I6*XLOOKUP($E6,'03_resultados_formacao'!$B:$B,'03_resultados_formacao'!$J:$J),"")</x:f>
        <x:v>0</x:v>
      </x:c>
      <x:c r="Q6" s="26" t="n">
        <x:f>IFERROR($J6*XLOOKUP($F6,'03_resultados_formacao'!$B:$B,'03_resultados_formacao'!$K:$K)+$K6*XLOOKUP($G6,'03_resultados_formacao'!$B:$B,'03_resultados_formacao'!$K:$K)-$H6*XLOOKUP($D6,'03_resultados_formacao'!$B:$B,'03_resultados_formacao'!$K:$K)-$I6*XLOOKUP($E6,'03_resultados_formacao'!$B:$B,'03_resultados_formacao'!$K:$K),"")</x:f>
        <x:v>0</x:v>
      </x:c>
      <x:c r="R6" s="26" t="n">
        <x:f>IFERROR($J6*XLOOKUP($F6,'03_resultados_formacao'!$B:$B,'03_resultados_formacao'!$L:$L)+$K6*XLOOKUP($G6,'03_resultados_formacao'!$B:$B,'03_resultados_formacao'!$L:$L)-$H6*XLOOKUP($D6,'03_resultados_formacao'!$B:$B,'03_resultados_formacao'!$L:$L)-$I6*XLOOKUP($E6,'03_resultados_formacao'!$B:$B,'03_resultados_formacao'!$L:$L),"")</x:f>
        <x:v>0</x:v>
      </x:c>
      <x:c r="S6" s="26" t="str">
        <x:f>IF(P6="","",ABS(P6-$L6))</x:f>
      </x:c>
      <x:c r="T6" s="30" t="str">
        <x:f>IF(P6="","",ABS(P6-$L6)/ABS($L6))</x:f>
      </x:c>
      <x:c r="U6" s="26" t="str">
        <x:f>IF(Q6="","",ABS(Q6-$L6))</x:f>
      </x:c>
      <x:c r="V6" s="30" t="str">
        <x:f>IF(Q6="","",ABS(Q6-$L6)/ABS($L6))</x:f>
      </x:c>
      <x:c r="W6" s="26" t="str">
        <x:f>IF(R6="","",ABS(R6-$L6))</x:f>
      </x:c>
      <x:c r="X6" s="30" t="str">
        <x:f>IF(R6="","",ABS(R6-$L6)/ABS($L6))</x:f>
      </x:c>
    </x:row>
    <x:row r="7">
      <x:c r="A7" t="str">
        <x:v>R03</x:v>
      </x:c>
      <x:c r="B7" t="str">
        <x:v>Transesterification</x:v>
      </x:c>
      <x:c r="C7" t="str">
        <x:v>Trilaurin + 3 CH₃OH → 3 Methyl Dodecanoate + Glycerol</x:v>
      </x:c>
      <x:c r="D7" t="str">
        <x:v>Trilaurin</x:v>
      </x:c>
      <x:c r="E7" t="str">
        <x:v>Methanol</x:v>
      </x:c>
      <x:c r="F7" t="str">
        <x:v>Methyl Dodecanoate</x:v>
      </x:c>
      <x:c r="G7" t="str">
        <x:v>Glycerol</x:v>
      </x:c>
      <x:c r="H7" t="n">
        <x:v>1</x:v>
      </x:c>
      <x:c r="I7" t="n">
        <x:v>3</x:v>
      </x:c>
      <x:c r="J7" t="n">
        <x:v>3</x:v>
      </x:c>
      <x:c r="K7" t="n">
        <x:v>1</x:v>
      </x:c>
      <x:c r="L7" s="26" t="n">
        <x:v>58.70999999999981</x:v>
      </x:c>
      <x:c r="M7" s="26" t="n">
        <x:v>-2.2737367544323206e-13</x:v>
      </x:c>
      <x:c r="N7" s="26" t="n">
        <x:v>-3.887000000000171</x:v>
      </x:c>
      <x:c r="O7" s="26" t="n">
        <x:v>2.4185200000001714</x:v>
      </x:c>
      <x:c r="P7" s="26" t="n">
        <x:f>IFERROR($J7*XLOOKUP($F7,'03_resultados_formacao'!$B:$B,'03_resultados_formacao'!$J:$J)+$K7*XLOOKUP($G7,'03_resultados_formacao'!$B:$B,'03_resultados_formacao'!$J:$J)-$H7*XLOOKUP($D7,'03_resultados_formacao'!$B:$B,'03_resultados_formacao'!$J:$J)-$I7*XLOOKUP($E7,'03_resultados_formacao'!$B:$B,'03_resultados_formacao'!$J:$J),"")</x:f>
        <x:v>0</x:v>
      </x:c>
      <x:c r="Q7" s="26" t="n">
        <x:f>IFERROR($J7*XLOOKUP($F7,'03_resultados_formacao'!$B:$B,'03_resultados_formacao'!$K:$K)+$K7*XLOOKUP($G7,'03_resultados_formacao'!$B:$B,'03_resultados_formacao'!$K:$K)-$H7*XLOOKUP($D7,'03_resultados_formacao'!$B:$B,'03_resultados_formacao'!$K:$K)-$I7*XLOOKUP($E7,'03_resultados_formacao'!$B:$B,'03_resultados_formacao'!$K:$K),"")</x:f>
        <x:v>0</x:v>
      </x:c>
      <x:c r="R7" s="26" t="n">
        <x:f>IFERROR($J7*XLOOKUP($F7,'03_resultados_formacao'!$B:$B,'03_resultados_formacao'!$L:$L)+$K7*XLOOKUP($G7,'03_resultados_formacao'!$B:$B,'03_resultados_formacao'!$L:$L)-$H7*XLOOKUP($D7,'03_resultados_formacao'!$B:$B,'03_resultados_formacao'!$L:$L)-$I7*XLOOKUP($E7,'03_resultados_formacao'!$B:$B,'03_resultados_formacao'!$L:$L),"")</x:f>
        <x:v>0</x:v>
      </x:c>
      <x:c r="S7" s="26" t="str">
        <x:f>IF(P7="","",ABS(P7-$L7))</x:f>
      </x:c>
      <x:c r="T7" s="30" t="str">
        <x:f>IF(P7="","",ABS(P7-$L7)/ABS($L7))</x:f>
      </x:c>
      <x:c r="U7" s="26" t="str">
        <x:f>IF(Q7="","",ABS(Q7-$L7))</x:f>
      </x:c>
      <x:c r="V7" s="30" t="str">
        <x:f>IF(Q7="","",ABS(Q7-$L7)/ABS($L7))</x:f>
      </x:c>
      <x:c r="W7" s="26" t="str">
        <x:f>IF(R7="","",ABS(R7-$L7))</x:f>
      </x:c>
      <x:c r="X7" s="30" t="str">
        <x:f>IF(R7="","",ABS(R7-$L7)/ABS($L7))</x:f>
      </x:c>
    </x:row>
    <x:row r="8">
      <x:c r="A8" t="str">
        <x:v>R04</x:v>
      </x:c>
      <x:c r="B8" t="str">
        <x:v>Transesterification</x:v>
      </x:c>
      <x:c r="C8" t="str">
        <x:v>Trimyristin + 3 CH₃OH → 3 Methyl Tetradecanoate + Glycerol</x:v>
      </x:c>
      <x:c r="D8" t="str">
        <x:v>Trimyristin</x:v>
      </x:c>
      <x:c r="E8" t="str">
        <x:v>Methanol</x:v>
      </x:c>
      <x:c r="F8" t="str">
        <x:v>Methyl Tetradecanoate</x:v>
      </x:c>
      <x:c r="G8" t="str">
        <x:v>Glycerol</x:v>
      </x:c>
      <x:c r="H8" t="n">
        <x:v>1</x:v>
      </x:c>
      <x:c r="I8" t="n">
        <x:v>3</x:v>
      </x:c>
      <x:c r="J8" t="n">
        <x:v>3</x:v>
      </x:c>
      <x:c r="K8" t="n">
        <x:v>1</x:v>
      </x:c>
      <x:c r="L8" s="26" t="n">
        <x:v>57.820000000000164</x:v>
      </x:c>
      <x:c r="M8" s="26" t="n">
        <x:v>-4.547473508864641e-13</x:v>
      </x:c>
      <x:c r="N8" s="26" t="n">
        <x:v>-3.887000000000171</x:v>
      </x:c>
      <x:c r="O8" s="26" t="n">
        <x:v>10.570920000000115</x:v>
      </x:c>
      <x:c r="P8" s="26" t="n">
        <x:f>IFERROR($J8*XLOOKUP($F8,'03_resultados_formacao'!$B:$B,'03_resultados_formacao'!$J:$J)+$K8*XLOOKUP($G8,'03_resultados_formacao'!$B:$B,'03_resultados_formacao'!$J:$J)-$H8*XLOOKUP($D8,'03_resultados_formacao'!$B:$B,'03_resultados_formacao'!$J:$J)-$I8*XLOOKUP($E8,'03_resultados_formacao'!$B:$B,'03_resultados_formacao'!$J:$J),"")</x:f>
        <x:v>0</x:v>
      </x:c>
      <x:c r="Q8" s="26" t="n">
        <x:f>IFERROR($J8*XLOOKUP($F8,'03_resultados_formacao'!$B:$B,'03_resultados_formacao'!$K:$K)+$K8*XLOOKUP($G8,'03_resultados_formacao'!$B:$B,'03_resultados_formacao'!$K:$K)-$H8*XLOOKUP($D8,'03_resultados_formacao'!$B:$B,'03_resultados_formacao'!$K:$K)-$I8*XLOOKUP($E8,'03_resultados_formacao'!$B:$B,'03_resultados_formacao'!$K:$K),"")</x:f>
        <x:v>0</x:v>
      </x:c>
      <x:c r="R8" s="26" t="n">
        <x:f>IFERROR($J8*XLOOKUP($F8,'03_resultados_formacao'!$B:$B,'03_resultados_formacao'!$L:$L)+$K8*XLOOKUP($G8,'03_resultados_formacao'!$B:$B,'03_resultados_formacao'!$L:$L)-$H8*XLOOKUP($D8,'03_resultados_formacao'!$B:$B,'03_resultados_formacao'!$L:$L)-$I8*XLOOKUP($E8,'03_resultados_formacao'!$B:$B,'03_resultados_formacao'!$L:$L),"")</x:f>
        <x:v>0</x:v>
      </x:c>
      <x:c r="S8" s="26" t="str">
        <x:f>IF(P8="","",ABS(P8-$L8))</x:f>
      </x:c>
      <x:c r="T8" s="30" t="str">
        <x:f>IF(P8="","",ABS(P8-$L8)/ABS($L8))</x:f>
      </x:c>
      <x:c r="U8" s="26" t="str">
        <x:f>IF(Q8="","",ABS(Q8-$L8))</x:f>
      </x:c>
      <x:c r="V8" s="30" t="str">
        <x:f>IF(Q8="","",ABS(Q8-$L8)/ABS($L8))</x:f>
      </x:c>
      <x:c r="W8" s="26" t="str">
        <x:f>IF(R8="","",ABS(R8-$L8))</x:f>
      </x:c>
      <x:c r="X8" s="30" t="str">
        <x:f>IF(R8="","",ABS(R8-$L8)/ABS($L8))</x:f>
      </x:c>
    </x:row>
    <x:row r="9">
      <x:c r="A9" t="str">
        <x:v>R05</x:v>
      </x:c>
      <x:c r="B9" t="str">
        <x:v>Transesterification</x:v>
      </x:c>
      <x:c r="C9" t="str">
        <x:v>Tripalmitin + 3 CH₃OH → 3 Methyl Hexadecanoate + Glycerol</x:v>
      </x:c>
      <x:c r="D9" t="str">
        <x:v>Tripalmitin</x:v>
      </x:c>
      <x:c r="E9" t="str">
        <x:v>Methanol</x:v>
      </x:c>
      <x:c r="F9" t="str">
        <x:v>Methyl Hexadecanoate</x:v>
      </x:c>
      <x:c r="G9" t="str">
        <x:v>Glycerol</x:v>
      </x:c>
      <x:c r="H9" t="n">
        <x:v>1</x:v>
      </x:c>
      <x:c r="I9" t="n">
        <x:v>3</x:v>
      </x:c>
      <x:c r="J9" t="n">
        <x:v>3</x:v>
      </x:c>
      <x:c r="K9" t="n">
        <x:v>1</x:v>
      </x:c>
      <x:c r="L9" s="26" t="n">
        <x:v>117.11999999999966</x:v>
      </x:c>
      <x:c r="M9" s="26" t="n">
        <x:v>-4.547473508864641e-13</x:v>
      </x:c>
      <x:c r="N9" s="26" t="n">
        <x:v>-3.8870000000006257</x:v>
      </x:c>
      <x:c r="O9" s="26" t="n">
        <x:v>14.455369999999675</x:v>
      </x:c>
      <x:c r="P9" s="26" t="n">
        <x:f>IFERROR($J9*XLOOKUP($F9,'03_resultados_formacao'!$B:$B,'03_resultados_formacao'!$J:$J)+$K9*XLOOKUP($G9,'03_resultados_formacao'!$B:$B,'03_resultados_formacao'!$J:$J)-$H9*XLOOKUP($D9,'03_resultados_formacao'!$B:$B,'03_resultados_formacao'!$J:$J)-$I9*XLOOKUP($E9,'03_resultados_formacao'!$B:$B,'03_resultados_formacao'!$J:$J),"")</x:f>
        <x:v>0</x:v>
      </x:c>
      <x:c r="Q9" s="26" t="n">
        <x:f>IFERROR($J9*XLOOKUP($F9,'03_resultados_formacao'!$B:$B,'03_resultados_formacao'!$K:$K)+$K9*XLOOKUP($G9,'03_resultados_formacao'!$B:$B,'03_resultados_formacao'!$K:$K)-$H9*XLOOKUP($D9,'03_resultados_formacao'!$B:$B,'03_resultados_formacao'!$K:$K)-$I9*XLOOKUP($E9,'03_resultados_formacao'!$B:$B,'03_resultados_formacao'!$K:$K),"")</x:f>
        <x:v>0</x:v>
      </x:c>
      <x:c r="R9" s="26" t="n">
        <x:f>IFERROR($J9*XLOOKUP($F9,'03_resultados_formacao'!$B:$B,'03_resultados_formacao'!$L:$L)+$K9*XLOOKUP($G9,'03_resultados_formacao'!$B:$B,'03_resultados_formacao'!$L:$L)-$H9*XLOOKUP($D9,'03_resultados_formacao'!$B:$B,'03_resultados_formacao'!$L:$L)-$I9*XLOOKUP($E9,'03_resultados_formacao'!$B:$B,'03_resultados_formacao'!$L:$L),"")</x:f>
        <x:v>0</x:v>
      </x:c>
      <x:c r="S9" s="26" t="str">
        <x:f>IF(P9="","",ABS(P9-$L9))</x:f>
      </x:c>
      <x:c r="T9" s="30" t="str">
        <x:f>IF(P9="","",ABS(P9-$L9)/ABS($L9))</x:f>
      </x:c>
      <x:c r="U9" s="26" t="str">
        <x:f>IF(Q9="","",ABS(Q9-$L9))</x:f>
      </x:c>
      <x:c r="V9" s="30" t="str">
        <x:f>IF(Q9="","",ABS(Q9-$L9)/ABS($L9))</x:f>
      </x:c>
      <x:c r="W9" s="26" t="str">
        <x:f>IF(R9="","",ABS(R9-$L9))</x:f>
      </x:c>
      <x:c r="X9" s="30" t="str">
        <x:f>IF(R9="","",ABS(R9-$L9)/ABS($L9))</x:f>
      </x:c>
    </x:row>
    <x:row r="10">
      <x:c r="A10" t="str">
        <x:v>R06</x:v>
      </x:c>
      <x:c r="B10" t="str">
        <x:v>Esterification</x:v>
      </x:c>
      <x:c r="C10" t="str">
        <x:v>Acetic Acid + CH₃OH → Methyl Acetate + H2O</x:v>
      </x:c>
      <x:c r="D10" t="str">
        <x:v>Acetic acid</x:v>
      </x:c>
      <x:c r="E10" t="str">
        <x:v>Methanol</x:v>
      </x:c>
      <x:c r="F10" t="str">
        <x:v>Methyl acetate</x:v>
      </x:c>
      <x:c r="G10" t="str">
        <x:v>Water</x:v>
      </x:c>
      <x:c r="H10" t="n">
        <x:v>1</x:v>
      </x:c>
      <x:c r="I10" t="n">
        <x:v>1</x:v>
      </x:c>
      <x:c r="J10" t="n">
        <x:v>1</x:v>
      </x:c>
      <x:c r="K10" t="n">
        <x:v>1</x:v>
      </x:c>
      <x:c r="L10" s="26" t="n">
        <x:v>-20.590000000000032</x:v>
      </x:c>
      <x:c r="M10" s="26" t="n">
        <x:v>-13.28000000000003</x:v>
      </x:c>
      <x:c r="N10" s="26" t="n">
        <x:v>-18.791000000000054</x:v>
      </x:c>
      <x:c r="O10" s="26" t="n">
        <x:v>-14.330260000000067</x:v>
      </x:c>
      <x:c r="P10" s="26" t="n">
        <x:f>IFERROR($J10*XLOOKUP($F10,'03_resultados_formacao'!$B:$B,'03_resultados_formacao'!$J:$J)+$K10*XLOOKUP($G10,'03_resultados_formacao'!$B:$B,'03_resultados_formacao'!$J:$J)-$H10*XLOOKUP($D10,'03_resultados_formacao'!$B:$B,'03_resultados_formacao'!$J:$J)-$I10*XLOOKUP($E10,'03_resultados_formacao'!$B:$B,'03_resultados_formacao'!$J:$J),"")</x:f>
        <x:v>0</x:v>
      </x:c>
      <x:c r="Q10" s="26" t="n">
        <x:f>IFERROR($J10*XLOOKUP($F10,'03_resultados_formacao'!$B:$B,'03_resultados_formacao'!$K:$K)+$K10*XLOOKUP($G10,'03_resultados_formacao'!$B:$B,'03_resultados_formacao'!$K:$K)-$H10*XLOOKUP($D10,'03_resultados_formacao'!$B:$B,'03_resultados_formacao'!$K:$K)-$I10*XLOOKUP($E10,'03_resultados_formacao'!$B:$B,'03_resultados_formacao'!$K:$K),"")</x:f>
        <x:v>0</x:v>
      </x:c>
      <x:c r="R10" s="26" t="n">
        <x:f>IFERROR($J10*XLOOKUP($F10,'03_resultados_formacao'!$B:$B,'03_resultados_formacao'!$L:$L)+$K10*XLOOKUP($G10,'03_resultados_formacao'!$B:$B,'03_resultados_formacao'!$L:$L)-$H10*XLOOKUP($D10,'03_resultados_formacao'!$B:$B,'03_resultados_formacao'!$L:$L)-$I10*XLOOKUP($E10,'03_resultados_formacao'!$B:$B,'03_resultados_formacao'!$L:$L),"")</x:f>
        <x:v>0</x:v>
      </x:c>
      <x:c r="S10" s="26" t="str">
        <x:f>IF(P10="","",ABS(P10-$L10))</x:f>
      </x:c>
      <x:c r="T10" s="30" t="str">
        <x:f>IF(P10="","",ABS(P10-$L10)/ABS($L10))</x:f>
      </x:c>
      <x:c r="U10" s="26" t="str">
        <x:f>IF(Q10="","",ABS(Q10-$L10))</x:f>
      </x:c>
      <x:c r="V10" s="30" t="str">
        <x:f>IF(Q10="","",ABS(Q10-$L10)/ABS($L10))</x:f>
      </x:c>
      <x:c r="W10" s="26" t="str">
        <x:f>IF(R10="","",ABS(R10-$L10))</x:f>
      </x:c>
      <x:c r="X10" s="30" t="str">
        <x:f>IF(R10="","",ABS(R10-$L10)/ABS($L10))</x:f>
      </x:c>
    </x:row>
    <x:row r="11">
      <x:c r="A11" t="str">
        <x:v>R07</x:v>
      </x:c>
      <x:c r="B11" t="str">
        <x:v>Esterification</x:v>
      </x:c>
      <x:c r="C11" t="str">
        <x:v>Butyric Acid + CH₃OH → Methyl Butyrate + H2O</x:v>
      </x:c>
      <x:c r="D11" t="str">
        <x:v>Butyric acid</x:v>
      </x:c>
      <x:c r="E11" t="str">
        <x:v>Methanol</x:v>
      </x:c>
      <x:c r="F11" t="str">
        <x:v>Methyl butyrate</x:v>
      </x:c>
      <x:c r="G11" t="str">
        <x:v>Water</x:v>
      </x:c>
      <x:c r="H11" t="n">
        <x:v>1</x:v>
      </x:c>
      <x:c r="I11" t="n">
        <x:v>1</x:v>
      </x:c>
      <x:c r="J11" t="n">
        <x:v>1</x:v>
      </x:c>
      <x:c r="K11" t="n">
        <x:v>1</x:v>
      </x:c>
      <x:c r="L11" s="26" t="n">
        <x:v>-15.789999999999964</x:v>
      </x:c>
      <x:c r="M11" s="26" t="n">
        <x:v>-13.279999999999973</x:v>
      </x:c>
      <x:c r="N11" s="26" t="n">
        <x:v>-13.495999999999981</x:v>
      </x:c>
      <x:c r="O11" s="26" t="n">
        <x:v>-13.97124000000008</x:v>
      </x:c>
      <x:c r="P11" s="26" t="n">
        <x:f>IFERROR($J11*XLOOKUP($F11,'03_resultados_formacao'!$B:$B,'03_resultados_formacao'!$J:$J)+$K11*XLOOKUP($G11,'03_resultados_formacao'!$B:$B,'03_resultados_formacao'!$J:$J)-$H11*XLOOKUP($D11,'03_resultados_formacao'!$B:$B,'03_resultados_formacao'!$J:$J)-$I11*XLOOKUP($E11,'03_resultados_formacao'!$B:$B,'03_resultados_formacao'!$J:$J),"")</x:f>
        <x:v>0</x:v>
      </x:c>
      <x:c r="Q11" s="26" t="n">
        <x:f>IFERROR($J11*XLOOKUP($F11,'03_resultados_formacao'!$B:$B,'03_resultados_formacao'!$K:$K)+$K11*XLOOKUP($G11,'03_resultados_formacao'!$B:$B,'03_resultados_formacao'!$K:$K)-$H11*XLOOKUP($D11,'03_resultados_formacao'!$B:$B,'03_resultados_formacao'!$K:$K)-$I11*XLOOKUP($E11,'03_resultados_formacao'!$B:$B,'03_resultados_formacao'!$K:$K),"")</x:f>
        <x:v>0</x:v>
      </x:c>
      <x:c r="R11" s="26" t="n">
        <x:f>IFERROR($J11*XLOOKUP($F11,'03_resultados_formacao'!$B:$B,'03_resultados_formacao'!$L:$L)+$K11*XLOOKUP($G11,'03_resultados_formacao'!$B:$B,'03_resultados_formacao'!$L:$L)-$H11*XLOOKUP($D11,'03_resultados_formacao'!$B:$B,'03_resultados_formacao'!$L:$L)-$I11*XLOOKUP($E11,'03_resultados_formacao'!$B:$B,'03_resultados_formacao'!$L:$L),"")</x:f>
        <x:v>0</x:v>
      </x:c>
      <x:c r="S11" s="26" t="str">
        <x:f>IF(P11="","",ABS(P11-$L11))</x:f>
      </x:c>
      <x:c r="T11" s="30" t="str">
        <x:f>IF(P11="","",ABS(P11-$L11)/ABS($L11))</x:f>
      </x:c>
      <x:c r="U11" s="26" t="str">
        <x:f>IF(Q11="","",ABS(Q11-$L11))</x:f>
      </x:c>
      <x:c r="V11" s="30" t="str">
        <x:f>IF(Q11="","",ABS(Q11-$L11)/ABS($L11))</x:f>
      </x:c>
      <x:c r="W11" s="26" t="str">
        <x:f>IF(R11="","",ABS(R11-$L11))</x:f>
      </x:c>
      <x:c r="X11" s="30" t="str">
        <x:f>IF(R11="","",ABS(R11-$L11)/ABS($L11))</x:f>
      </x:c>
    </x:row>
    <x:row r="12">
      <x:c r="A12" t="str">
        <x:v>R08</x:v>
      </x:c>
      <x:c r="B12" t="str">
        <x:v>Esterification</x:v>
      </x:c>
      <x:c r="C12" t="str">
        <x:v>Dodecanoic Acid + CH₃OH → Methyl Dodecanoate + H2O</x:v>
      </x:c>
      <x:c r="D12" t="str">
        <x:v>Dodecanoic acid</x:v>
      </x:c>
      <x:c r="E12" t="str">
        <x:v>Methanol</x:v>
      </x:c>
      <x:c r="F12" t="str">
        <x:v>Methyl Dodecanoate</x:v>
      </x:c>
      <x:c r="G12" t="str">
        <x:v>Water</x:v>
      </x:c>
      <x:c r="H12" t="n">
        <x:v>1</x:v>
      </x:c>
      <x:c r="I12" t="n">
        <x:v>1</x:v>
      </x:c>
      <x:c r="J12" t="n">
        <x:v>1</x:v>
      </x:c>
      <x:c r="K12" t="n">
        <x:v>1</x:v>
      </x:c>
      <x:c r="L12" s="26" t="n">
        <x:v>-16.79000000000002</x:v>
      </x:c>
      <x:c r="M12" s="26" t="n">
        <x:v>-13.28000000000003</x:v>
      </x:c>
      <x:c r="N12" s="26" t="n">
        <x:v>-13.495999999999981</x:v>
      </x:c>
      <x:c r="O12" s="26" t="n">
        <x:v>-16.233910000000037</x:v>
      </x:c>
      <x:c r="P12" s="26" t="n">
        <x:f>IFERROR($J12*XLOOKUP($F12,'03_resultados_formacao'!$B:$B,'03_resultados_formacao'!$J:$J)+$K12*XLOOKUP($G12,'03_resultados_formacao'!$B:$B,'03_resultados_formacao'!$J:$J)-$H12*XLOOKUP($D12,'03_resultados_formacao'!$B:$B,'03_resultados_formacao'!$J:$J)-$I12*XLOOKUP($E12,'03_resultados_formacao'!$B:$B,'03_resultados_formacao'!$J:$J),"")</x:f>
        <x:v>0</x:v>
      </x:c>
      <x:c r="Q12" s="26" t="n">
        <x:f>IFERROR($J12*XLOOKUP($F12,'03_resultados_formacao'!$B:$B,'03_resultados_formacao'!$K:$K)+$K12*XLOOKUP($G12,'03_resultados_formacao'!$B:$B,'03_resultados_formacao'!$K:$K)-$H12*XLOOKUP($D12,'03_resultados_formacao'!$B:$B,'03_resultados_formacao'!$K:$K)-$I12*XLOOKUP($E12,'03_resultados_formacao'!$B:$B,'03_resultados_formacao'!$K:$K),"")</x:f>
        <x:v>0</x:v>
      </x:c>
      <x:c r="R12" s="26" t="n">
        <x:f>IFERROR($J12*XLOOKUP($F12,'03_resultados_formacao'!$B:$B,'03_resultados_formacao'!$L:$L)+$K12*XLOOKUP($G12,'03_resultados_formacao'!$B:$B,'03_resultados_formacao'!$L:$L)-$H12*XLOOKUP($D12,'03_resultados_formacao'!$B:$B,'03_resultados_formacao'!$L:$L)-$I12*XLOOKUP($E12,'03_resultados_formacao'!$B:$B,'03_resultados_formacao'!$L:$L),"")</x:f>
        <x:v>0</x:v>
      </x:c>
      <x:c r="S12" s="26" t="str">
        <x:f>IF(P12="","",ABS(P12-$L12))</x:f>
      </x:c>
      <x:c r="T12" s="30" t="str">
        <x:f>IF(P12="","",ABS(P12-$L12)/ABS($L12))</x:f>
      </x:c>
      <x:c r="U12" s="26" t="str">
        <x:f>IF(Q12="","",ABS(Q12-$L12))</x:f>
      </x:c>
      <x:c r="V12" s="30" t="str">
        <x:f>IF(Q12="","",ABS(Q12-$L12)/ABS($L12))</x:f>
      </x:c>
      <x:c r="W12" s="26" t="str">
        <x:f>IF(R12="","",ABS(R12-$L12))</x:f>
      </x:c>
      <x:c r="X12" s="30" t="str">
        <x:f>IF(R12="","",ABS(R12-$L12)/ABS($L12))</x:f>
      </x:c>
    </x:row>
    <x:row r="13">
      <x:c r="A13" t="str">
        <x:v>R09</x:v>
      </x:c>
      <x:c r="B13" t="str">
        <x:v>Esterification</x:v>
      </x:c>
      <x:c r="C13" t="str">
        <x:v>Tetradecanoic acid + CH₃OH → Methyl Tetradecanoate + H2O</x:v>
      </x:c>
      <x:c r="D13" t="str">
        <x:v>Tetradecanoic acid</x:v>
      </x:c>
      <x:c r="E13" t="str">
        <x:v>Methanol</x:v>
      </x:c>
      <x:c r="F13" t="str">
        <x:v>Methyl Tetradecanoate</x:v>
      </x:c>
      <x:c r="G13" t="str">
        <x:v>Water</x:v>
      </x:c>
      <x:c r="H13" t="n">
        <x:v>1</x:v>
      </x:c>
      <x:c r="I13" t="n">
        <x:v>1</x:v>
      </x:c>
      <x:c r="J13" t="n">
        <x:v>1</x:v>
      </x:c>
      <x:c r="K13" t="n">
        <x:v>1</x:v>
      </x:c>
      <x:c r="L13" s="26" t="n">
        <x:v>-4.089999999999975</x:v>
      </x:c>
      <x:c r="M13" s="26" t="n">
        <x:v>-13.28000000000003</x:v>
      </x:c>
      <x:c r="N13" s="26" t="n">
        <x:v>-13.496000000000095</x:v>
      </x:c>
      <x:c r="O13" s="26" t="n">
        <x:v>-14.988540000000057</x:v>
      </x:c>
      <x:c r="P13" s="26" t="n">
        <x:f>IFERROR($J13*XLOOKUP($F13,'03_resultados_formacao'!$B:$B,'03_resultados_formacao'!$J:$J)+$K13*XLOOKUP($G13,'03_resultados_formacao'!$B:$B,'03_resultados_formacao'!$J:$J)-$H13*XLOOKUP($D13,'03_resultados_formacao'!$B:$B,'03_resultados_formacao'!$J:$J)-$I13*XLOOKUP($E13,'03_resultados_formacao'!$B:$B,'03_resultados_formacao'!$J:$J),"")</x:f>
        <x:v>0</x:v>
      </x:c>
      <x:c r="Q13" s="26" t="n">
        <x:f>IFERROR($J13*XLOOKUP($F13,'03_resultados_formacao'!$B:$B,'03_resultados_formacao'!$K:$K)+$K13*XLOOKUP($G13,'03_resultados_formacao'!$B:$B,'03_resultados_formacao'!$K:$K)-$H13*XLOOKUP($D13,'03_resultados_formacao'!$B:$B,'03_resultados_formacao'!$K:$K)-$I13*XLOOKUP($E13,'03_resultados_formacao'!$B:$B,'03_resultados_formacao'!$K:$K),"")</x:f>
        <x:v>0</x:v>
      </x:c>
      <x:c r="R13" s="26" t="n">
        <x:f>IFERROR($J13*XLOOKUP($F13,'03_resultados_formacao'!$B:$B,'03_resultados_formacao'!$L:$L)+$K13*XLOOKUP($G13,'03_resultados_formacao'!$B:$B,'03_resultados_formacao'!$L:$L)-$H13*XLOOKUP($D13,'03_resultados_formacao'!$B:$B,'03_resultados_formacao'!$L:$L)-$I13*XLOOKUP($E13,'03_resultados_formacao'!$B:$B,'03_resultados_formacao'!$L:$L),"")</x:f>
        <x:v>0</x:v>
      </x:c>
      <x:c r="S13" s="26" t="str">
        <x:f>IF(P13="","",ABS(P13-$L13))</x:f>
      </x:c>
      <x:c r="T13" s="30" t="str">
        <x:f>IF(P13="","",ABS(P13-$L13)/ABS($L13))</x:f>
      </x:c>
      <x:c r="U13" s="26" t="str">
        <x:f>IF(Q13="","",ABS(Q13-$L13))</x:f>
      </x:c>
      <x:c r="V13" s="30" t="str">
        <x:f>IF(Q13="","",ABS(Q13-$L13)/ABS($L13))</x:f>
      </x:c>
      <x:c r="W13" s="26" t="str">
        <x:f>IF(R13="","",ABS(R13-$L13))</x:f>
      </x:c>
      <x:c r="X13" s="30" t="str">
        <x:f>IF(R13="","",ABS(R13-$L13)/ABS($L13))</x:f>
      </x:c>
    </x:row>
    <x:row r="14">
      <x:c r="A14" t="str">
        <x:v>R10</x:v>
      </x:c>
      <x:c r="B14" t="str">
        <x:v>Esterification</x:v>
      </x:c>
      <x:c r="C14" t="str">
        <x:v>Hexadecanoic acid + CH₃OH → Methyl Hexadecanoate + H2O</x:v>
      </x:c>
      <x:c r="D14" t="str">
        <x:v>Hexadecanoic acid</x:v>
      </x:c>
      <x:c r="E14" t="str">
        <x:v>Methanol</x:v>
      </x:c>
      <x:c r="F14" t="str">
        <x:v>Methyl Hexadecanoate</x:v>
      </x:c>
      <x:c r="G14" t="str">
        <x:v>Water</x:v>
      </x:c>
      <x:c r="H14" t="n">
        <x:v>1</x:v>
      </x:c>
      <x:c r="I14" t="n">
        <x:v>1</x:v>
      </x:c>
      <x:c r="J14" t="n">
        <x:v>1</x:v>
      </x:c>
      <x:c r="K14" t="n">
        <x:v>1</x:v>
      </x:c>
      <x:c r="L14" s="26" t="n">
        <x:v>30.609999999999957</x:v>
      </x:c>
      <x:c r="M14" s="26" t="n">
        <x:v>-13.279999999999916</x:v>
      </x:c>
      <x:c r="N14" s="26" t="n">
        <x:v>-13.495999999999981</x:v>
      </x:c>
      <x:c r="O14" s="26" t="n">
        <x:v>-13.928640000000087</x:v>
      </x:c>
      <x:c r="P14" s="26" t="n">
        <x:f>IFERROR($J14*XLOOKUP($F14,'03_resultados_formacao'!$B:$B,'03_resultados_formacao'!$J:$J)+$K14*XLOOKUP($G14,'03_resultados_formacao'!$B:$B,'03_resultados_formacao'!$J:$J)-$H14*XLOOKUP($D14,'03_resultados_formacao'!$B:$B,'03_resultados_formacao'!$J:$J)-$I14*XLOOKUP($E14,'03_resultados_formacao'!$B:$B,'03_resultados_formacao'!$J:$J),"")</x:f>
        <x:v>0</x:v>
      </x:c>
      <x:c r="Q14" s="26" t="n">
        <x:f>IFERROR($J14*XLOOKUP($F14,'03_resultados_formacao'!$B:$B,'03_resultados_formacao'!$K:$K)+$K14*XLOOKUP($G14,'03_resultados_formacao'!$B:$B,'03_resultados_formacao'!$K:$K)-$H14*XLOOKUP($D14,'03_resultados_formacao'!$B:$B,'03_resultados_formacao'!$K:$K)-$I14*XLOOKUP($E14,'03_resultados_formacao'!$B:$B,'03_resultados_formacao'!$K:$K),"")</x:f>
        <x:v>0</x:v>
      </x:c>
      <x:c r="R14" s="26" t="n">
        <x:f>IFERROR($J14*XLOOKUP($F14,'03_resultados_formacao'!$B:$B,'03_resultados_formacao'!$L:$L)+$K14*XLOOKUP($G14,'03_resultados_formacao'!$B:$B,'03_resultados_formacao'!$L:$L)-$H14*XLOOKUP($D14,'03_resultados_formacao'!$B:$B,'03_resultados_formacao'!$L:$L)-$I14*XLOOKUP($E14,'03_resultados_formacao'!$B:$B,'03_resultados_formacao'!$L:$L),"")</x:f>
        <x:v>0</x:v>
      </x:c>
      <x:c r="S14" s="26" t="str">
        <x:f>IF(P14="","",ABS(P14-$L14))</x:f>
      </x:c>
      <x:c r="T14" s="30" t="str">
        <x:f>IF(P14="","",ABS(P14-$L14)/ABS($L14))</x:f>
      </x:c>
      <x:c r="U14" s="26" t="str">
        <x:f>IF(Q14="","",ABS(Q14-$L14))</x:f>
      </x:c>
      <x:c r="V14" s="30" t="str">
        <x:f>IF(Q14="","",ABS(Q14-$L14)/ABS($L14))</x:f>
      </x:c>
      <x:c r="W14" s="26" t="str">
        <x:f>IF(R14="","",ABS(R14-$L14))</x:f>
      </x:c>
      <x:c r="X14" s="30" t="str">
        <x:f>IF(R14="","",ABS(R14-$L14)/ABS($L14))</x:f>
      </x:c>
    </x:row>
    <x:row r="15">
      <x:c r="A15" t="str">
        <x:v>R11</x:v>
      </x:c>
      <x:c r="B15" t="str">
        <x:v>Hydrolysis</x:v>
      </x:c>
      <x:c r="C15" t="str">
        <x:v>Triacetin + 3 H2O → 3 Acetic Acid + Glycerol</x:v>
      </x:c>
      <x:c r="D15" t="str">
        <x:v>Triacetin</x:v>
      </x:c>
      <x:c r="E15" t="str">
        <x:v>Water</x:v>
      </x:c>
      <x:c r="F15" t="str">
        <x:v>Acetic acid</x:v>
      </x:c>
      <x:c r="G15" t="str">
        <x:v>Glycerol</x:v>
      </x:c>
      <x:c r="H15" t="n">
        <x:v>1</x:v>
      </x:c>
      <x:c r="I15" t="n">
        <x:v>3</x:v>
      </x:c>
      <x:c r="J15" t="n">
        <x:v>3</x:v>
      </x:c>
      <x:c r="K15" t="n">
        <x:v>1</x:v>
      </x:c>
      <x:c r="L15" s="26" t="n">
        <x:v>95.99000000000001</x:v>
      </x:c>
      <x:c r="M15" s="26" t="n">
        <x:v>39.840000000000146</x:v>
      </x:c>
      <x:c r="N15" s="26" t="n">
        <x:v>41.89599999999996</x:v>
      </x:c>
      <x:c r="O15" s="26" t="n">
        <x:v>44.46844999999985</x:v>
      </x:c>
      <x:c r="P15" s="26" t="n">
        <x:f>IFERROR($J15*XLOOKUP($F15,'03_resultados_formacao'!$B:$B,'03_resultados_formacao'!$J:$J)+$K15*XLOOKUP($G15,'03_resultados_formacao'!$B:$B,'03_resultados_formacao'!$J:$J)-$H15*XLOOKUP($D15,'03_resultados_formacao'!$B:$B,'03_resultados_formacao'!$J:$J)-$I15*XLOOKUP($E15,'03_resultados_formacao'!$B:$B,'03_resultados_formacao'!$J:$J),"")</x:f>
        <x:v>0</x:v>
      </x:c>
      <x:c r="Q15" s="26" t="n">
        <x:f>IFERROR($J15*XLOOKUP($F15,'03_resultados_formacao'!$B:$B,'03_resultados_formacao'!$K:$K)+$K15*XLOOKUP($G15,'03_resultados_formacao'!$B:$B,'03_resultados_formacao'!$K:$K)-$H15*XLOOKUP($D15,'03_resultados_formacao'!$B:$B,'03_resultados_formacao'!$K:$K)-$I15*XLOOKUP($E15,'03_resultados_formacao'!$B:$B,'03_resultados_formacao'!$K:$K),"")</x:f>
        <x:v>0</x:v>
      </x:c>
      <x:c r="R15" s="26" t="n">
        <x:f>IFERROR($J15*XLOOKUP($F15,'03_resultados_formacao'!$B:$B,'03_resultados_formacao'!$L:$L)+$K15*XLOOKUP($G15,'03_resultados_formacao'!$B:$B,'03_resultados_formacao'!$L:$L)-$H15*XLOOKUP($D15,'03_resultados_formacao'!$B:$B,'03_resultados_formacao'!$L:$L)-$I15*XLOOKUP($E15,'03_resultados_formacao'!$B:$B,'03_resultados_formacao'!$L:$L),"")</x:f>
        <x:v>0</x:v>
      </x:c>
      <x:c r="S15" s="26" t="str">
        <x:f>IF(P15="","",ABS(P15-$L15))</x:f>
      </x:c>
      <x:c r="T15" s="30" t="str">
        <x:f>IF(P15="","",ABS(P15-$L15)/ABS($L15))</x:f>
      </x:c>
      <x:c r="U15" s="26" t="str">
        <x:f>IF(Q15="","",ABS(Q15-$L15))</x:f>
      </x:c>
      <x:c r="V15" s="30" t="str">
        <x:f>IF(Q15="","",ABS(Q15-$L15)/ABS($L15))</x:f>
      </x:c>
      <x:c r="W15" s="26" t="str">
        <x:f>IF(R15="","",ABS(R15-$L15))</x:f>
      </x:c>
      <x:c r="X15" s="30" t="str">
        <x:f>IF(R15="","",ABS(R15-$L15)/ABS($L15))</x:f>
      </x:c>
    </x:row>
    <x:row r="16">
      <x:c r="A16" t="str">
        <x:v>R12</x:v>
      </x:c>
      <x:c r="B16" t="str">
        <x:v>Hydrolysis</x:v>
      </x:c>
      <x:c r="C16" t="str">
        <x:v>Tributyrin + 3 H2O → 3 Butyric Acid + Glycerol</x:v>
      </x:c>
      <x:c r="D16" t="str">
        <x:v>Tributyrin</x:v>
      </x:c>
      <x:c r="E16" t="str">
        <x:v>Water</x:v>
      </x:c>
      <x:c r="F16" t="str">
        <x:v>Butyric acid</x:v>
      </x:c>
      <x:c r="G16" t="str">
        <x:v>Glycerol</x:v>
      </x:c>
      <x:c r="H16" t="n">
        <x:v>1</x:v>
      </x:c>
      <x:c r="I16" t="n">
        <x:v>3</x:v>
      </x:c>
      <x:c r="J16" t="n">
        <x:v>3</x:v>
      </x:c>
      <x:c r="K16" t="n">
        <x:v>1</x:v>
      </x:c>
      <x:c r="L16" s="26" t="n">
        <x:v>109.08999999999992</x:v>
      </x:c>
      <x:c r="M16" s="26" t="n">
        <x:v>39.840000000000146</x:v>
      </x:c>
      <x:c r="N16" s="26" t="n">
        <x:v>36.600999999999885</x:v>
      </x:c>
      <x:c r="O16" s="26" t="n">
        <x:v>34.91516999999999</x:v>
      </x:c>
      <x:c r="P16" s="26" t="n">
        <x:f>IFERROR($J16*XLOOKUP($F16,'03_resultados_formacao'!$B:$B,'03_resultados_formacao'!$J:$J)+$K16*XLOOKUP($G16,'03_resultados_formacao'!$B:$B,'03_resultados_formacao'!$J:$J)-$H16*XLOOKUP($D16,'03_resultados_formacao'!$B:$B,'03_resultados_formacao'!$J:$J)-$I16*XLOOKUP($E16,'03_resultados_formacao'!$B:$B,'03_resultados_formacao'!$J:$J),"")</x:f>
        <x:v>0</x:v>
      </x:c>
      <x:c r="Q16" s="26" t="n">
        <x:f>IFERROR($J16*XLOOKUP($F16,'03_resultados_formacao'!$B:$B,'03_resultados_formacao'!$K:$K)+$K16*XLOOKUP($G16,'03_resultados_formacao'!$B:$B,'03_resultados_formacao'!$K:$K)-$H16*XLOOKUP($D16,'03_resultados_formacao'!$B:$B,'03_resultados_formacao'!$K:$K)-$I16*XLOOKUP($E16,'03_resultados_formacao'!$B:$B,'03_resultados_formacao'!$K:$K),"")</x:f>
        <x:v>0</x:v>
      </x:c>
      <x:c r="R16" s="26" t="n">
        <x:f>IFERROR($J16*XLOOKUP($F16,'03_resultados_formacao'!$B:$B,'03_resultados_formacao'!$L:$L)+$K16*XLOOKUP($G16,'03_resultados_formacao'!$B:$B,'03_resultados_formacao'!$L:$L)-$H16*XLOOKUP($D16,'03_resultados_formacao'!$B:$B,'03_resultados_formacao'!$L:$L)-$I16*XLOOKUP($E16,'03_resultados_formacao'!$B:$B,'03_resultados_formacao'!$L:$L),"")</x:f>
        <x:v>0</x:v>
      </x:c>
      <x:c r="S16" s="26" t="str">
        <x:f>IF(P16="","",ABS(P16-$L16))</x:f>
      </x:c>
      <x:c r="T16" s="30" t="str">
        <x:f>IF(P16="","",ABS(P16-$L16)/ABS($L16))</x:f>
      </x:c>
      <x:c r="U16" s="26" t="str">
        <x:f>IF(Q16="","",ABS(Q16-$L16))</x:f>
      </x:c>
      <x:c r="V16" s="30" t="str">
        <x:f>IF(Q16="","",ABS(Q16-$L16)/ABS($L16))</x:f>
      </x:c>
      <x:c r="W16" s="26" t="str">
        <x:f>IF(R16="","",ABS(R16-$L16))</x:f>
      </x:c>
      <x:c r="X16" s="30" t="str">
        <x:f>IF(R16="","",ABS(R16-$L16)/ABS($L16))</x:f>
      </x:c>
    </x:row>
    <x:row r="17">
      <x:c r="A17" t="str">
        <x:v>R13</x:v>
      </x:c>
      <x:c r="B17" t="str">
        <x:v>Hydrolysis</x:v>
      </x:c>
      <x:c r="C17" t="str">
        <x:v>Trilaurin + 3 H2O → 3 Dodecanoic Acid + Glycerol</x:v>
      </x:c>
      <x:c r="D17" t="str">
        <x:v>Trilaurin</x:v>
      </x:c>
      <x:c r="E17" t="str">
        <x:v>Water</x:v>
      </x:c>
      <x:c r="F17" t="str">
        <x:v>Dodecanoic acid</x:v>
      </x:c>
      <x:c r="G17" t="str">
        <x:v>Glycerol</x:v>
      </x:c>
      <x:c r="H17" t="n">
        <x:v>1</x:v>
      </x:c>
      <x:c r="I17" t="n">
        <x:v>3</x:v>
      </x:c>
      <x:c r="J17" t="n">
        <x:v>3</x:v>
      </x:c>
      <x:c r="K17" t="n">
        <x:v>1</x:v>
      </x:c>
      <x:c r="L17" s="26" t="n">
        <x:v>109.0799999999997</x:v>
      </x:c>
      <x:c r="M17" s="26" t="n">
        <x:v>39.83999999999969</x:v>
      </x:c>
      <x:c r="N17" s="26" t="n">
        <x:v>36.60099999999966</x:v>
      </x:c>
      <x:c r="O17" s="26" t="n">
        <x:v>51.12024999999994</x:v>
      </x:c>
      <x:c r="P17" s="26" t="n">
        <x:f>IFERROR($J17*XLOOKUP($F17,'03_resultados_formacao'!$B:$B,'03_resultados_formacao'!$J:$J)+$K17*XLOOKUP($G17,'03_resultados_formacao'!$B:$B,'03_resultados_formacao'!$J:$J)-$H17*XLOOKUP($D17,'03_resultados_formacao'!$B:$B,'03_resultados_formacao'!$J:$J)-$I17*XLOOKUP($E17,'03_resultados_formacao'!$B:$B,'03_resultados_formacao'!$J:$J),"")</x:f>
        <x:v>0</x:v>
      </x:c>
      <x:c r="Q17" s="26" t="n">
        <x:f>IFERROR($J17*XLOOKUP($F17,'03_resultados_formacao'!$B:$B,'03_resultados_formacao'!$K:$K)+$K17*XLOOKUP($G17,'03_resultados_formacao'!$B:$B,'03_resultados_formacao'!$K:$K)-$H17*XLOOKUP($D17,'03_resultados_formacao'!$B:$B,'03_resultados_formacao'!$K:$K)-$I17*XLOOKUP($E17,'03_resultados_formacao'!$B:$B,'03_resultados_formacao'!$K:$K),"")</x:f>
        <x:v>0</x:v>
      </x:c>
      <x:c r="R17" s="26" t="n">
        <x:f>IFERROR($J17*XLOOKUP($F17,'03_resultados_formacao'!$B:$B,'03_resultados_formacao'!$L:$L)+$K17*XLOOKUP($G17,'03_resultados_formacao'!$B:$B,'03_resultados_formacao'!$L:$L)-$H17*XLOOKUP($D17,'03_resultados_formacao'!$B:$B,'03_resultados_formacao'!$L:$L)-$I17*XLOOKUP($E17,'03_resultados_formacao'!$B:$B,'03_resultados_formacao'!$L:$L),"")</x:f>
        <x:v>0</x:v>
      </x:c>
      <x:c r="S17" s="26" t="str">
        <x:f>IF(P17="","",ABS(P17-$L17))</x:f>
      </x:c>
      <x:c r="T17" s="30" t="str">
        <x:f>IF(P17="","",ABS(P17-$L17)/ABS($L17))</x:f>
      </x:c>
      <x:c r="U17" s="26" t="str">
        <x:f>IF(Q17="","",ABS(Q17-$L17))</x:f>
      </x:c>
      <x:c r="V17" s="30" t="str">
        <x:f>IF(Q17="","",ABS(Q17-$L17)/ABS($L17))</x:f>
      </x:c>
      <x:c r="W17" s="26" t="str">
        <x:f>IF(R17="","",ABS(R17-$L17))</x:f>
      </x:c>
      <x:c r="X17" s="30" t="str">
        <x:f>IF(R17="","",ABS(R17-$L17)/ABS($L17))</x:f>
      </x:c>
    </x:row>
    <x:row r="18">
      <x:c r="A18" t="str">
        <x:v>R14</x:v>
      </x:c>
      <x:c r="B18" t="str">
        <x:v>Hydrolysis</x:v>
      </x:c>
      <x:c r="C18" t="str">
        <x:v>Trimyristin + 3 H2O → 3 Tetradecanoic acid + Glycerol</x:v>
      </x:c>
      <x:c r="D18" t="str">
        <x:v>Trimyristin</x:v>
      </x:c>
      <x:c r="E18" t="str">
        <x:v>Water</x:v>
      </x:c>
      <x:c r="F18" t="str">
        <x:v>Tetradecanoic acid</x:v>
      </x:c>
      <x:c r="G18" t="str">
        <x:v>Glycerol</x:v>
      </x:c>
      <x:c r="H18" t="n">
        <x:v>1</x:v>
      </x:c>
      <x:c r="I18" t="n">
        <x:v>3</x:v>
      </x:c>
      <x:c r="J18" t="n">
        <x:v>3</x:v>
      </x:c>
      <x:c r="K18" t="n">
        <x:v>1</x:v>
      </x:c>
      <x:c r="L18" s="26" t="n">
        <x:v>70.08999999999969</x:v>
      </x:c>
      <x:c r="M18" s="26" t="n">
        <x:v>39.83999999999946</x:v>
      </x:c>
      <x:c r="N18" s="26" t="n">
        <x:v>36.60100000000011</x:v>
      </x:c>
      <x:c r="O18" s="26" t="n">
        <x:v>55.53654000000006</x:v>
      </x:c>
      <x:c r="P18" s="26" t="n">
        <x:f>IFERROR($J18*XLOOKUP($F18,'03_resultados_formacao'!$B:$B,'03_resultados_formacao'!$J:$J)+$K18*XLOOKUP($G18,'03_resultados_formacao'!$B:$B,'03_resultados_formacao'!$J:$J)-$H18*XLOOKUP($D18,'03_resultados_formacao'!$B:$B,'03_resultados_formacao'!$J:$J)-$I18*XLOOKUP($E18,'03_resultados_formacao'!$B:$B,'03_resultados_formacao'!$J:$J),"")</x:f>
        <x:v>0</x:v>
      </x:c>
      <x:c r="Q18" s="26" t="n">
        <x:f>IFERROR($J18*XLOOKUP($F18,'03_resultados_formacao'!$B:$B,'03_resultados_formacao'!$K:$K)+$K18*XLOOKUP($G18,'03_resultados_formacao'!$B:$B,'03_resultados_formacao'!$K:$K)-$H18*XLOOKUP($D18,'03_resultados_formacao'!$B:$B,'03_resultados_formacao'!$K:$K)-$I18*XLOOKUP($E18,'03_resultados_formacao'!$B:$B,'03_resultados_formacao'!$K:$K),"")</x:f>
        <x:v>0</x:v>
      </x:c>
      <x:c r="R18" s="26" t="n">
        <x:f>IFERROR($J18*XLOOKUP($F18,'03_resultados_formacao'!$B:$B,'03_resultados_formacao'!$L:$L)+$K18*XLOOKUP($G18,'03_resultados_formacao'!$B:$B,'03_resultados_formacao'!$L:$L)-$H18*XLOOKUP($D18,'03_resultados_formacao'!$B:$B,'03_resultados_formacao'!$L:$L)-$I18*XLOOKUP($E18,'03_resultados_formacao'!$B:$B,'03_resultados_formacao'!$L:$L),"")</x:f>
        <x:v>0</x:v>
      </x:c>
      <x:c r="S18" s="26" t="str">
        <x:f>IF(P18="","",ABS(P18-$L18))</x:f>
      </x:c>
      <x:c r="T18" s="30" t="str">
        <x:f>IF(P18="","",ABS(P18-$L18)/ABS($L18))</x:f>
      </x:c>
      <x:c r="U18" s="26" t="str">
        <x:f>IF(Q18="","",ABS(Q18-$L18))</x:f>
      </x:c>
      <x:c r="V18" s="30" t="str">
        <x:f>IF(Q18="","",ABS(Q18-$L18)/ABS($L18))</x:f>
      </x:c>
      <x:c r="W18" s="26" t="str">
        <x:f>IF(R18="","",ABS(R18-$L18))</x:f>
      </x:c>
      <x:c r="X18" s="30" t="str">
        <x:f>IF(R18="","",ABS(R18-$L18)/ABS($L18))</x:f>
      </x:c>
    </x:row>
    <x:row r="19">
      <x:c r="A19" t="str">
        <x:v>R15</x:v>
      </x:c>
      <x:c r="B19" t="str">
        <x:v>Hydrolysis</x:v>
      </x:c>
      <x:c r="C19" t="str">
        <x:v>Tripalmitin + 3 H2O → 3 Hexadecanoic acid + Glycerol</x:v>
      </x:c>
      <x:c r="D19" t="str">
        <x:v>Tripalmitin</x:v>
      </x:c>
      <x:c r="E19" t="str">
        <x:v>Water</x:v>
      </x:c>
      <x:c r="F19" t="str">
        <x:v>Hexadecanoic acid</x:v>
      </x:c>
      <x:c r="G19" t="str">
        <x:v>Glycerol</x:v>
      </x:c>
      <x:c r="H19" t="n">
        <x:v>1</x:v>
      </x:c>
      <x:c r="I19" t="n">
        <x:v>3</x:v>
      </x:c>
      <x:c r="J19" t="n">
        <x:v>3</x:v>
      </x:c>
      <x:c r="K19" t="n">
        <x:v>1</x:v>
      </x:c>
      <x:c r="L19" s="26" t="n">
        <x:v>25.289999999999736</x:v>
      </x:c>
      <x:c r="M19" s="26" t="n">
        <x:v>39.83999999999946</x:v>
      </x:c>
      <x:c r="N19" s="26" t="n">
        <x:v>36.60099999999966</x:v>
      </x:c>
      <x:c r="O19" s="26" t="n">
        <x:v>56.24128999999948</x:v>
      </x:c>
      <x:c r="P19" s="26" t="n">
        <x:f>IFERROR($J19*XLOOKUP($F19,'03_resultados_formacao'!$B:$B,'03_resultados_formacao'!$J:$J)+$K19*XLOOKUP($G19,'03_resultados_formacao'!$B:$B,'03_resultados_formacao'!$J:$J)-$H19*XLOOKUP($D19,'03_resultados_formacao'!$B:$B,'03_resultados_formacao'!$J:$J)-$I19*XLOOKUP($E19,'03_resultados_formacao'!$B:$B,'03_resultados_formacao'!$J:$J),"")</x:f>
        <x:v>0</x:v>
      </x:c>
      <x:c r="Q19" s="26" t="n">
        <x:f>IFERROR($J19*XLOOKUP($F19,'03_resultados_formacao'!$B:$B,'03_resultados_formacao'!$K:$K)+$K19*XLOOKUP($G19,'03_resultados_formacao'!$B:$B,'03_resultados_formacao'!$K:$K)-$H19*XLOOKUP($D19,'03_resultados_formacao'!$B:$B,'03_resultados_formacao'!$K:$K)-$I19*XLOOKUP($E19,'03_resultados_formacao'!$B:$B,'03_resultados_formacao'!$K:$K),"")</x:f>
        <x:v>0</x:v>
      </x:c>
      <x:c r="R19" s="26" t="n">
        <x:f>IFERROR($J19*XLOOKUP($F19,'03_resultados_formacao'!$B:$B,'03_resultados_formacao'!$L:$L)+$K19*XLOOKUP($G19,'03_resultados_formacao'!$B:$B,'03_resultados_formacao'!$L:$L)-$H19*XLOOKUP($D19,'03_resultados_formacao'!$B:$B,'03_resultados_formacao'!$L:$L)-$I19*XLOOKUP($E19,'03_resultados_formacao'!$B:$B,'03_resultados_formacao'!$L:$L),"")</x:f>
        <x:v>0</x:v>
      </x:c>
      <x:c r="S19" s="26" t="str">
        <x:f>IF(P19="","",ABS(P19-$L19))</x:f>
      </x:c>
      <x:c r="T19" s="30" t="str">
        <x:f>IF(P19="","",ABS(P19-$L19)/ABS($L19))</x:f>
      </x:c>
      <x:c r="U19" s="26" t="str">
        <x:f>IF(Q19="","",ABS(Q19-$L19))</x:f>
      </x:c>
      <x:c r="V19" s="30" t="str">
        <x:f>IF(Q19="","",ABS(Q19-$L19)/ABS($L19))</x:f>
      </x:c>
      <x:c r="W19" s="26" t="str">
        <x:f>IF(R19="","",ABS(R19-$L19))</x:f>
      </x:c>
      <x:c r="X19" s="30" t="str">
        <x:f>IF(R19="","",ABS(R19-$L19)/ABS($L19))</x:f>
      </x:c>
    </x:row>
    <x:row r="20">
      <x:c r="A20" t="str">
        <x:v>R16</x:v>
      </x:c>
      <x:c r="B20" t="str">
        <x:v>Esterification</x:v>
      </x:c>
      <x:c r="C20"/>
      <x:c r="D20"/>
      <x:c r="E20"/>
      <x:c r="F20"/>
      <x:c r="G20"/>
      <x:c r="H20"/>
      <x:c r="I20" t="str">
        <x:v>hydrolysis</x:v>
      </x:c>
      <x:c r="J20"/>
      <x:c r="K20"/>
      <x:c r="L20" s="26"/>
      <x:c r="M20" s="26"/>
      <x:c r="N20" s="26"/>
      <x:c r="O20" s="26"/>
      <x:c r="P20" s="26" t="str">
        <x:f>IFERROR($J20*XLOOKUP($F20,'03_resultados_formacao'!$B:$B,'03_resultados_formacao'!$J:$J)+$K20*XLOOKUP($G20,'03_resultados_formacao'!$B:$B,'03_resultados_formacao'!$J:$J)-$H20*XLOOKUP($D20,'03_resultados_formacao'!$B:$B,'03_resultados_formacao'!$J:$J)-$I20*XLOOKUP($E20,'03_resultados_formacao'!$B:$B,'03_resultados_formacao'!$J:$J),"")</x:f>
      </x:c>
      <x:c r="Q20" s="26" t="str">
        <x:f>IFERROR($J20*XLOOKUP($F20,'03_resultados_formacao'!$B:$B,'03_resultados_formacao'!$K:$K)+$K20*XLOOKUP($G20,'03_resultados_formacao'!$B:$B,'03_resultados_formacao'!$K:$K)-$H20*XLOOKUP($D20,'03_resultados_formacao'!$B:$B,'03_resultados_formacao'!$K:$K)-$I20*XLOOKUP($E20,'03_resultados_formacao'!$B:$B,'03_resultados_formacao'!$K:$K),"")</x:f>
      </x:c>
      <x:c r="R20" s="26" t="str">
        <x:f>IFERROR($J20*XLOOKUP($F20,'03_resultados_formacao'!$B:$B,'03_resultados_formacao'!$L:$L)+$K20*XLOOKUP($G20,'03_resultados_formacao'!$B:$B,'03_resultados_formacao'!$L:$L)-$H20*XLOOKUP($D20,'03_resultados_formacao'!$B:$B,'03_resultados_formacao'!$L:$L)-$I20*XLOOKUP($E20,'03_resultados_formacao'!$B:$B,'03_resultados_formacao'!$L:$L),"")</x:f>
      </x:c>
      <x:c r="S20" s="26" t="str">
        <x:f>IF(P20="","",ABS(P20-$L20))</x:f>
      </x:c>
      <x:c r="T20" s="30" t="str">
        <x:f>IF(P20="","",ABS(P20-$L20)/ABS($L20))</x:f>
      </x:c>
      <x:c r="U20" s="26" t="str">
        <x:f>IF(Q20="","",ABS(Q20-$L20))</x:f>
      </x:c>
      <x:c r="V20" s="30" t="str">
        <x:f>IF(Q20="","",ABS(Q20-$L20)/ABS($L20))</x:f>
      </x:c>
      <x:c r="W20" s="26" t="str">
        <x:f>IF(R20="","",ABS(R20-$L20))</x:f>
      </x:c>
      <x:c r="X20" s="30" t="str">
        <x:f>IF(R20="","",ABS(R20-$L20)/ABS($L20))</x:f>
      </x:c>
    </x:row>
  </x:sheetData>
  <x:mergeCells>
    <x:mergeCell ref="A1:X1"/>
    <x:mergeCell ref="A2:X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4" t="str">
        <x:v>Resumo de métricas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10" t="str">
        <x:v>Indicadores principais para comparar o novo protocolo CREST+MOPAC com as referências do TCC.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>
      <x:c r="A4" s="18" t="str">
        <x:v>Indicador</x:v>
      </x:c>
      <x:c r="B4" s="18" t="str">
        <x:v>Fórmula/valor</x:v>
      </x:c>
    </x:row>
    <x:row r="5">
      <x:c r="A5" s="34" t="str">
        <x:v>Moléculas na base</x:v>
      </x:c>
      <x:c r="B5" s="34" t="n">
        <x:f>COUNTA('01_moleculas_cbthermo'!$A$5:$A$39)</x:f>
        <x:v>35</x:v>
      </x:c>
    </x:row>
    <x:row r="6">
      <x:c r="A6" s="34" t="str">
        <x:v>Linhas do pipeline</x:v>
      </x:c>
      <x:c r="B6" s="34" t="n">
        <x:f>COUNTA('02_pipeline_grimperium_mini'!$A$5:$A$109)</x:f>
        <x:v>105</x:v>
      </x:c>
    </x:row>
    <x:row r="7">
      <x:c r="A7" s="34" t="str">
        <x:v>Resultados OK no pipeline</x:v>
      </x:c>
      <x:c r="B7" s="34" t="n">
        <x:f>COUNTIF('02_pipeline_grimperium_mini'!$H$5:$H$109,"OK")</x:f>
        <x:v>0</x:v>
      </x:c>
    </x:row>
    <x:row r="8">
      <x:c r="A8" s="34" t="str">
        <x:v>Reações avaliadas</x:v>
      </x:c>
      <x:c r="B8" s="34" t="n">
        <x:f>COUNTA('04_reacoes'!$A$5:$A$20)</x:f>
        <x:v>16</x:v>
      </x:c>
    </x:row>
    <x:row r="12">
      <x:c r="A12" s="18" t="str">
        <x:v>Grupo</x:v>
      </x:c>
      <x:c r="B12" s="18" t="str">
        <x:v>n</x:v>
      </x:c>
      <x:c r="C12" s="18" t="str">
        <x:v>MRD_AM1_CREST</x:v>
      </x:c>
      <x:c r="D12" s="18" t="str">
        <x:v>MRD_PM3_CREST</x:v>
      </x:c>
      <x:c r="E12" s="18" t="str">
        <x:v>MRD_PM7_CREST</x:v>
      </x:c>
      <x:c r="F12" s="18" t="str">
        <x:v>MAD_AM1_CREST</x:v>
      </x:c>
      <x:c r="G12" s="18" t="str">
        <x:v>MAD_PM3_CREST</x:v>
      </x:c>
      <x:c r="H12" s="18" t="str">
        <x:v>MAD_PM7_CREST</x:v>
      </x:c>
    </x:row>
    <x:row r="13">
      <x:c r="A13" t="str">
        <x:v>Acids</x:v>
      </x:c>
      <x:c r="B13" t="n">
        <x:f>COUNTIF('03_resultados_formacao'!$D$5:$D$39,A13)</x:f>
        <x:v>10</x:v>
      </x:c>
      <x:c r="C13" s="30" t="str">
        <x:f>IFERROR(AVERAGEIFS('03_resultados_formacao'!$N$5:$N$39,'03_resultados_formacao'!$D$5:$D$39,A13),"")</x:f>
      </x:c>
      <x:c r="D13" s="30" t="str">
        <x:f>IFERROR(AVERAGEIFS('03_resultados_formacao'!$P$5:$P$39,'03_resultados_formacao'!$D$5:$D$39,A13),"")</x:f>
      </x:c>
      <x:c r="E13" s="30" t="str">
        <x:f>IFERROR(AVERAGEIFS('03_resultados_formacao'!$R$5:$R$39,'03_resultados_formacao'!$D$5:$D$39,A13),"")</x:f>
      </x:c>
      <x:c r="F13" s="26" t="str">
        <x:f>IFERROR(AVERAGEIFS('03_resultados_formacao'!$M$5:$M$39,'03_resultados_formacao'!$D$5:$D$39,A13),"")</x:f>
      </x:c>
      <x:c r="G13" s="26" t="str">
        <x:f>IFERROR(AVERAGEIFS('03_resultados_formacao'!$O$5:$O$39,'03_resultados_formacao'!$D$5:$D$39,A13),"")</x:f>
      </x:c>
      <x:c r="H13" s="26" t="str">
        <x:f>IFERROR(AVERAGEIFS('03_resultados_formacao'!$Q$5:$Q$39,'03_resultados_formacao'!$D$5:$D$39,A13),"")</x:f>
      </x:c>
    </x:row>
    <x:row r="14">
      <x:c r="A14" t="str">
        <x:v>Alcohols</x:v>
      </x:c>
      <x:c r="B14" t="n">
        <x:f>COUNTIF('03_resultados_formacao'!$D$5:$D$39,A14)</x:f>
        <x:v>9</x:v>
      </x:c>
      <x:c r="C14" s="30" t="str">
        <x:f>IFERROR(AVERAGEIFS('03_resultados_formacao'!$N$5:$N$39,'03_resultados_formacao'!$D$5:$D$39,A14),"")</x:f>
      </x:c>
      <x:c r="D14" s="30" t="str">
        <x:f>IFERROR(AVERAGEIFS('03_resultados_formacao'!$P$5:$P$39,'03_resultados_formacao'!$D$5:$D$39,A14),"")</x:f>
      </x:c>
      <x:c r="E14" s="30" t="str">
        <x:f>IFERROR(AVERAGEIFS('03_resultados_formacao'!$R$5:$R$39,'03_resultados_formacao'!$D$5:$D$39,A14),"")</x:f>
      </x:c>
      <x:c r="F14" s="26" t="str">
        <x:f>IFERROR(AVERAGEIFS('03_resultados_formacao'!$M$5:$M$39,'03_resultados_formacao'!$D$5:$D$39,A14),"")</x:f>
      </x:c>
      <x:c r="G14" s="26" t="str">
        <x:f>IFERROR(AVERAGEIFS('03_resultados_formacao'!$O$5:$O$39,'03_resultados_formacao'!$D$5:$D$39,A14),"")</x:f>
      </x:c>
      <x:c r="H14" s="26" t="str">
        <x:f>IFERROR(AVERAGEIFS('03_resultados_formacao'!$Q$5:$Q$39,'03_resultados_formacao'!$D$5:$D$39,A14),"")</x:f>
      </x:c>
    </x:row>
    <x:row r="15">
      <x:c r="A15" t="str">
        <x:v>Esters</x:v>
      </x:c>
      <x:c r="B15" t="n">
        <x:f>COUNTIF('03_resultados_formacao'!$D$5:$D$39,A15)</x:f>
        <x:v>10</x:v>
      </x:c>
      <x:c r="C15" s="30" t="str">
        <x:f>IFERROR(AVERAGEIFS('03_resultados_formacao'!$N$5:$N$39,'03_resultados_formacao'!$D$5:$D$39,A15),"")</x:f>
      </x:c>
      <x:c r="D15" s="30" t="str">
        <x:f>IFERROR(AVERAGEIFS('03_resultados_formacao'!$P$5:$P$39,'03_resultados_formacao'!$D$5:$D$39,A15),"")</x:f>
      </x:c>
      <x:c r="E15" s="30" t="str">
        <x:f>IFERROR(AVERAGEIFS('03_resultados_formacao'!$R$5:$R$39,'03_resultados_formacao'!$D$5:$D$39,A15),"")</x:f>
      </x:c>
      <x:c r="F15" s="26" t="str">
        <x:f>IFERROR(AVERAGEIFS('03_resultados_formacao'!$M$5:$M$39,'03_resultados_formacao'!$D$5:$D$39,A15),"")</x:f>
      </x:c>
      <x:c r="G15" s="26" t="str">
        <x:f>IFERROR(AVERAGEIFS('03_resultados_formacao'!$O$5:$O$39,'03_resultados_formacao'!$D$5:$D$39,A15),"")</x:f>
      </x:c>
      <x:c r="H15" s="26" t="str">
        <x:f>IFERROR(AVERAGEIFS('03_resultados_formacao'!$Q$5:$Q$39,'03_resultados_formacao'!$D$5:$D$39,A15),"")</x:f>
      </x:c>
    </x:row>
    <x:row r="16">
      <x:c r="A16" t="str">
        <x:v>Triglycerides</x:v>
      </x:c>
      <x:c r="B16" t="n">
        <x:f>COUNTIF('03_resultados_formacao'!$D$5:$D$39,A16)</x:f>
        <x:v>5</x:v>
      </x:c>
      <x:c r="C16" s="30" t="str">
        <x:f>IFERROR(AVERAGEIFS('03_resultados_formacao'!$N$5:$N$39,'03_resultados_formacao'!$D$5:$D$39,A16),"")</x:f>
      </x:c>
      <x:c r="D16" s="30" t="str">
        <x:f>IFERROR(AVERAGEIFS('03_resultados_formacao'!$P$5:$P$39,'03_resultados_formacao'!$D$5:$D$39,A16),"")</x:f>
      </x:c>
      <x:c r="E16" s="30" t="str">
        <x:f>IFERROR(AVERAGEIFS('03_resultados_formacao'!$R$5:$R$39,'03_resultados_formacao'!$D$5:$D$39,A16),"")</x:f>
      </x:c>
      <x:c r="F16" s="26" t="str">
        <x:f>IFERROR(AVERAGEIFS('03_resultados_formacao'!$M$5:$M$39,'03_resultados_formacao'!$D$5:$D$39,A16),"")</x:f>
      </x:c>
      <x:c r="G16" s="26" t="str">
        <x:f>IFERROR(AVERAGEIFS('03_resultados_formacao'!$O$5:$O$39,'03_resultados_formacao'!$D$5:$D$39,A16),"")</x:f>
      </x:c>
      <x:c r="H16" s="26" t="str">
        <x:f>IFERROR(AVERAGEIFS('03_resultados_formacao'!$Q$5:$Q$39,'03_resultados_formacao'!$D$5:$D$39,A16),"")</x:f>
      </x:c>
    </x:row>
    <x:row r="17">
      <x:c r="A17" t="str">
        <x:v>Auxiliary</x:v>
      </x:c>
      <x:c r="B17" t="n">
        <x:f>COUNTIF('03_resultados_formacao'!$D$5:$D$39,A17)</x:f>
        <x:v>1</x:v>
      </x:c>
      <x:c r="C17" s="30" t="str">
        <x:f>IFERROR(AVERAGEIFS('03_resultados_formacao'!$N$5:$N$39,'03_resultados_formacao'!$D$5:$D$39,A17),"")</x:f>
      </x:c>
      <x:c r="D17" s="30" t="str">
        <x:f>IFERROR(AVERAGEIFS('03_resultados_formacao'!$P$5:$P$39,'03_resultados_formacao'!$D$5:$D$39,A17),"")</x:f>
      </x:c>
      <x:c r="E17" s="30" t="str">
        <x:f>IFERROR(AVERAGEIFS('03_resultados_formacao'!$R$5:$R$39,'03_resultados_formacao'!$D$5:$D$39,A17),"")</x:f>
      </x:c>
      <x:c r="F17" s="26" t="str">
        <x:f>IFERROR(AVERAGEIFS('03_resultados_formacao'!$M$5:$M$39,'03_resultados_formacao'!$D$5:$D$39,A17),"")</x:f>
      </x:c>
      <x:c r="G17" s="26" t="str">
        <x:f>IFERROR(AVERAGEIFS('03_resultados_formacao'!$O$5:$O$39,'03_resultados_formacao'!$D$5:$D$39,A17),"")</x:f>
      </x:c>
      <x:c r="H17" s="26" t="str">
        <x:f>IFERROR(AVERAGEIFS('03_resultados_formacao'!$Q$5:$Q$39,'03_resultados_formacao'!$D$5:$D$39,A17),"")</x:f>
      </x:c>
    </x:row>
    <x:row r="18">
      <x:c r="A18" t="str">
        <x:v>Global</x:v>
      </x:c>
      <x:c r="B18" t="n">
        <x:f>COUNTA('03_resultados_formacao'!$A$5:$A$39)</x:f>
        <x:v>35</x:v>
      </x:c>
      <x:c r="C18" s="30" t="str">
        <x:f>IFERROR(AVERAGE('03_resultados_formacao'!$N$5:$N$39),"")</x:f>
      </x:c>
      <x:c r="D18" s="30" t="str">
        <x:f>IFERROR(AVERAGE('03_resultados_formacao'!$P$5:$P$39),"")</x:f>
      </x:c>
      <x:c r="E18" s="30" t="str">
        <x:f>IFERROR(AVERAGE('03_resultados_formacao'!$R$5:$R$39),"")</x:f>
      </x:c>
      <x:c r="F18" s="26" t="str">
        <x:f>IFERROR(AVERAGE('03_resultados_formacao'!$M$5:$M$39),"")</x:f>
      </x:c>
      <x:c r="G18" s="26" t="str">
        <x:f>IFERROR(AVERAGE('03_resultados_formacao'!$O$5:$O$39),"")</x:f>
      </x:c>
      <x:c r="H18" s="26" t="str">
        <x:f>IFERROR(AVERAGE('03_resultados_formacao'!$Q$5:$Q$39),"")</x:f>
      </x:c>
    </x:row>
    <x:row r="22">
      <x:c r="A22" s="18" t="str">
        <x:v>Tipo de reação</x:v>
      </x:c>
      <x:c r="B22" s="18" t="str">
        <x:v>n</x:v>
      </x:c>
      <x:c r="C22" s="18" t="str">
        <x:v>MRD_AM1_CREST</x:v>
      </x:c>
      <x:c r="D22" s="18" t="str">
        <x:v>MRD_PM3_CREST</x:v>
      </x:c>
      <x:c r="E22" s="18" t="str">
        <x:v>MRD_PM7_CREST</x:v>
      </x:c>
      <x:c r="F22" s="18" t="str">
        <x:v>MAD_AM1_CREST</x:v>
      </x:c>
      <x:c r="G22" s="18" t="str">
        <x:v>MAD_PM3_CREST</x:v>
      </x:c>
      <x:c r="H22" s="18" t="str">
        <x:v>MAD_PM7_CREST</x:v>
      </x:c>
    </x:row>
    <x:row r="23">
      <x:c r="A23" t="str">
        <x:v>Transesterification</x:v>
      </x:c>
      <x:c r="B23" t="n">
        <x:f>COUNTIF('04_reacoes'!$B$5:$B$20,A23)</x:f>
        <x:v>5</x:v>
      </x:c>
      <x:c r="C23" s="30" t="str">
        <x:f>IFERROR(AVERAGEIFS('04_reacoes'!$T$5:$T$20,'04_reacoes'!$B$5:$B$20,A23),"")</x:f>
      </x:c>
      <x:c r="D23" s="30" t="str">
        <x:f>IFERROR(AVERAGEIFS('04_reacoes'!$V$5:$V$20,'04_reacoes'!$B$5:$B$20,A23),"")</x:f>
      </x:c>
      <x:c r="E23" s="30" t="str">
        <x:f>IFERROR(AVERAGEIFS('04_reacoes'!$X$5:$X$20,'04_reacoes'!$B$5:$B$20,A23),"")</x:f>
      </x:c>
      <x:c r="F23" s="26" t="str">
        <x:f>IFERROR(AVERAGEIFS('04_reacoes'!$S$5:$S$20,'04_reacoes'!$B$5:$B$20,A23),"")</x:f>
      </x:c>
      <x:c r="G23" s="26" t="str">
        <x:f>IFERROR(AVERAGEIFS('04_reacoes'!$U$5:$U$20,'04_reacoes'!$B$5:$B$20,A23),"")</x:f>
      </x:c>
      <x:c r="H23" s="26" t="str">
        <x:f>IFERROR(AVERAGEIFS('04_reacoes'!$W$5:$W$20,'04_reacoes'!$B$5:$B$20,A23),"")</x:f>
      </x:c>
    </x:row>
    <x:row r="24">
      <x:c r="A24" t="str">
        <x:v>Esterification</x:v>
      </x:c>
      <x:c r="B24" t="n">
        <x:f>COUNTIF('04_reacoes'!$B$5:$B$20,A24)</x:f>
        <x:v>6</x:v>
      </x:c>
      <x:c r="C24" s="30" t="str">
        <x:f>IFERROR(AVERAGEIFS('04_reacoes'!$T$5:$T$20,'04_reacoes'!$B$5:$B$20,A24),"")</x:f>
      </x:c>
      <x:c r="D24" s="30" t="str">
        <x:f>IFERROR(AVERAGEIFS('04_reacoes'!$V$5:$V$20,'04_reacoes'!$B$5:$B$20,A24),"")</x:f>
      </x:c>
      <x:c r="E24" s="30" t="str">
        <x:f>IFERROR(AVERAGEIFS('04_reacoes'!$X$5:$X$20,'04_reacoes'!$B$5:$B$20,A24),"")</x:f>
      </x:c>
      <x:c r="F24" s="26" t="str">
        <x:f>IFERROR(AVERAGEIFS('04_reacoes'!$S$5:$S$20,'04_reacoes'!$B$5:$B$20,A24),"")</x:f>
      </x:c>
      <x:c r="G24" s="26" t="str">
        <x:f>IFERROR(AVERAGEIFS('04_reacoes'!$U$5:$U$20,'04_reacoes'!$B$5:$B$20,A24),"")</x:f>
      </x:c>
      <x:c r="H24" s="26" t="str">
        <x:f>IFERROR(AVERAGEIFS('04_reacoes'!$W$5:$W$20,'04_reacoes'!$B$5:$B$20,A24),"")</x:f>
      </x:c>
    </x:row>
    <x:row r="25">
      <x:c r="A25" t="str">
        <x:v>Hydrolysis</x:v>
      </x:c>
      <x:c r="B25" t="n">
        <x:f>COUNTIF('04_reacoes'!$B$5:$B$20,A25)</x:f>
        <x:v>5</x:v>
      </x:c>
      <x:c r="C25" s="30" t="str">
        <x:f>IFERROR(AVERAGEIFS('04_reacoes'!$T$5:$T$20,'04_reacoes'!$B$5:$B$20,A25),"")</x:f>
      </x:c>
      <x:c r="D25" s="30" t="str">
        <x:f>IFERROR(AVERAGEIFS('04_reacoes'!$V$5:$V$20,'04_reacoes'!$B$5:$B$20,A25),"")</x:f>
      </x:c>
      <x:c r="E25" s="30" t="str">
        <x:f>IFERROR(AVERAGEIFS('04_reacoes'!$X$5:$X$20,'04_reacoes'!$B$5:$B$20,A25),"")</x:f>
      </x:c>
      <x:c r="F25" s="26" t="str">
        <x:f>IFERROR(AVERAGEIFS('04_reacoes'!$S$5:$S$20,'04_reacoes'!$B$5:$B$20,A25),"")</x:f>
      </x:c>
      <x:c r="G25" s="26" t="str">
        <x:f>IFERROR(AVERAGEIFS('04_reacoes'!$U$5:$U$20,'04_reacoes'!$B$5:$B$20,A25),"")</x:f>
      </x:c>
      <x:c r="H25" s="26" t="str">
        <x:f>IFERROR(AVERAGEIFS('04_reacoes'!$W$5:$W$20,'04_reacoes'!$B$5:$B$20,A25),"")</x:f>
      </x:c>
    </x:row>
    <x:row r="26">
      <x:c r="A26" t="str">
        <x:v>Global</x:v>
      </x:c>
      <x:c r="B26" t="n">
        <x:f>COUNTA('04_reacoes'!$A$5:$A$20)</x:f>
        <x:v>16</x:v>
      </x:c>
      <x:c r="C26" s="30" t="str">
        <x:f>IFERROR(AVERAGE('04_reacoes'!$T$5:$T$20),"")</x:f>
      </x:c>
      <x:c r="D26" s="30" t="str">
        <x:f>IFERROR(AVERAGE('04_reacoes'!$V$5:$V$20),"")</x:f>
      </x:c>
      <x:c r="E26" s="30" t="str">
        <x:f>IFERROR(AVERAGE('04_reacoes'!$X$5:$X$20),"")</x:f>
      </x:c>
      <x:c r="F26" s="26" t="str">
        <x:f>IFERROR(AVERAGE('04_reacoes'!$S$5:$S$20),"")</x:f>
      </x:c>
      <x:c r="G26" s="26" t="str">
        <x:f>IFERROR(AVERAGE('04_reacoes'!$U$5:$U$20),"")</x:f>
      </x:c>
      <x:c r="H26" s="26" t="str">
        <x:f>IFERROR(AVERAGE('04_reacoes'!$W$5:$W$20),"")</x:f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12" hidden="0" customWidth="1"/>
    <x:col min="4" max="4" width="14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8" hidden="0" customWidth="1"/>
    <x:col min="10" max="10" width="16" hidden="0" customWidth="1"/>
    <x:col min="11" max="11" width="14" hidden="0" customWidth="1"/>
    <x:col min="12" max="12" width="14" hidden="0" customWidth="1"/>
    <x:col min="13" max="13" width="14" hidden="0" customWidth="1"/>
    <x:col min="14" max="14" width="40" hidden="0" customWidth="1"/>
  </x:cols>
  <x:sheetData>
    <x:row r="1">
      <x:c r="A1" s="4" t="str">
        <x:v>Pareamento com thermo_pm7.csv do Grimperium original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10" t="str">
        <x:v>Correspondências feitas por SMILES exato. Linhas sem match ficam vazias.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>
      <x:c r="A4" s="18" t="str">
        <x:v>molecule</x:v>
      </x:c>
      <x:c r="B4" s="18" t="str">
        <x:v>smiles</x:v>
      </x:c>
      <x:c r="C4" s="18" t="str">
        <x:v>match_found</x:v>
      </x:c>
      <x:c r="D4" s="18" t="str">
        <x:v>original_mol_id</x:v>
      </x:c>
      <x:c r="E4" s="18" t="str">
        <x:v>status</x:v>
      </x:c>
      <x:c r="F4" s="18" t="str">
        <x:v>H298_cbs_kcalmol</x:v>
      </x:c>
      <x:c r="G4" s="18" t="str">
        <x:v>H298_pm7_kcalmol</x:v>
      </x:c>
      <x:c r="H4" s="18" t="str">
        <x:v>H298_pm7_kJmol</x:v>
      </x:c>
      <x:c r="I4" s="18" t="str">
        <x:v>H298_predicted_kcalmol</x:v>
      </x:c>
      <x:c r="J4" s="18" t="str">
        <x:v>delta_correction</x:v>
      </x:c>
      <x:c r="K4" s="18" t="str">
        <x:v>batch_id</x:v>
      </x:c>
      <x:c r="L4" s="18" t="str">
        <x:v>crest_status</x:v>
      </x:c>
      <x:c r="M4" s="18" t="str">
        <x:v>mopac_status</x:v>
      </x:c>
      <x:c r="N4" s="18" t="str">
        <x:v>source_note</x:v>
      </x:c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4"/>
      <x:c r="Z4" s="24"/>
      <x:c r="AA4" s="24"/>
      <x:c r="AB4" s="24"/>
      <x:c r="AC4" s="24"/>
      <x:c r="AD4" s="24"/>
      <x:c r="AE4" s="24"/>
      <x:c r="AF4" s="24"/>
      <x:c r="AG4" s="24"/>
      <x:c r="AH4" s="24"/>
    </x:row>
    <x:row r="5">
      <x:c r="A5" t="str">
        <x:v>Acetic acid</x:v>
      </x:c>
      <x:c r="B5" t="str">
        <x:v>CC(=O)O</x:v>
      </x:c>
      <x:c r="C5" s="28" t="b">
        <x:v>0</x:v>
      </x:c>
      <x:c r="D5" t="str"/>
      <x:c r="E5" t="str"/>
      <x:c r="F5" s="26"/>
      <x:c r="G5" s="26"/>
      <x:c r="H5" s="26"/>
      <x:c r="I5" s="26"/>
      <x:c r="J5" s="26"/>
      <x:c r="K5" t="str"/>
      <x:c r="L5" t="str"/>
      <x:c r="M5" t="str"/>
      <x:c r="N5" t="str">
        <x:v>Sem correspondência exata no CSV anexado</x:v>
      </x:c>
    </x:row>
    <x:row r="6">
      <x:c r="A6" t="str">
        <x:v>Propanoic acid</x:v>
      </x:c>
      <x:c r="B6" t="str">
        <x:v>CCC(=O)O</x:v>
      </x:c>
      <x:c r="C6" s="28" t="b">
        <x:v>1</x:v>
      </x:c>
      <x:c r="D6" t="str">
        <x:v>mol_01087</x:v>
      </x:c>
      <x:c r="E6" t="str">
        <x:v>OK</x:v>
      </x:c>
      <x:c r="F6" s="26" t="n">
        <x:v>-106.72236</x:v>
      </x:c>
      <x:c r="G6" s="26" t="n">
        <x:v>-106.72</x:v>
      </x:c>
      <x:c r="H6" s="26" t="n">
        <x:v>-446.51648</x:v>
      </x:c>
      <x:c r="I6" s="26" t="n">
        <x:v>-106.750645</x:v>
      </x:c>
      <x:c r="J6" s="26" t="n">
        <x:v>-0.030645</x:v>
      </x:c>
      <x:c r="K6" t="str">
        <x:v>batch_0017</x:v>
      </x:c>
      <x:c r="L6" t="str">
        <x:v>SUCCESS</x:v>
      </x:c>
      <x:c r="M6" t="str">
        <x:v>OK</x:v>
      </x:c>
      <x:c r="N6" t="str">
        <x:v>Match por SMILES exato</x:v>
      </x:c>
    </x:row>
    <x:row r="7">
      <x:c r="A7" t="str">
        <x:v>Butyric acid</x:v>
      </x:c>
      <x:c r="B7" t="str">
        <x:v>CCCC(=O)O</x:v>
      </x:c>
      <x:c r="C7" s="28" t="b">
        <x:v>1</x:v>
      </x:c>
      <x:c r="D7" t="str">
        <x:v>mol_01110</x:v>
      </x:c>
      <x:c r="E7" t="str">
        <x:v>OK</x:v>
      </x:c>
      <x:c r="F7" s="26" t="n">
        <x:v>-110.77106</x:v>
      </x:c>
      <x:c r="G7" s="26" t="n">
        <x:v>-111.98</x:v>
      </x:c>
      <x:c r="H7" s="26" t="n">
        <x:v>-468.52432000000005</x:v>
      </x:c>
      <x:c r="I7" s="26" t="n">
        <x:v>-111.161337</x:v>
      </x:c>
      <x:c r="J7" s="26" t="n">
        <x:v>0.818663</x:v>
      </x:c>
      <x:c r="K7" t="str">
        <x:v>batch_0017</x:v>
      </x:c>
      <x:c r="L7" t="str">
        <x:v>SUCCESS</x:v>
      </x:c>
      <x:c r="M7" t="str">
        <x:v>OK</x:v>
      </x:c>
      <x:c r="N7" t="str">
        <x:v>Match por SMILES exato</x:v>
      </x:c>
    </x:row>
    <x:row r="8">
      <x:c r="A8" t="str">
        <x:v>Pentanoic acid</x:v>
      </x:c>
      <x:c r="B8" t="str">
        <x:v>CCCCC(=O)O</x:v>
      </x:c>
      <x:c r="C8" s="28" t="b">
        <x:v>1</x:v>
      </x:c>
      <x:c r="D8" t="str">
        <x:v>mol_01151</x:v>
      </x:c>
      <x:c r="E8" t="str">
        <x:v>OK</x:v>
      </x:c>
      <x:c r="F8" s="26" t="n">
        <x:v>-114.40009</x:v>
      </x:c>
      <x:c r="G8" s="26" t="n">
        <x:v>-116.96</x:v>
      </x:c>
      <x:c r="H8" s="26" t="n">
        <x:v>-489.36064</x:v>
      </x:c>
      <x:c r="I8" s="26" t="n">
        <x:v>-115.302902</x:v>
      </x:c>
      <x:c r="J8" s="26" t="n">
        <x:v>1.657098</x:v>
      </x:c>
      <x:c r="K8" t="str">
        <x:v>batch_0018</x:v>
      </x:c>
      <x:c r="L8" t="str">
        <x:v>SUCCESS</x:v>
      </x:c>
      <x:c r="M8" t="str">
        <x:v>OK</x:v>
      </x:c>
      <x:c r="N8" t="str">
        <x:v>Match por SMILES exato</x:v>
      </x:c>
    </x:row>
    <x:row r="9">
      <x:c r="A9" t="str">
        <x:v>Hexanoic acid</x:v>
      </x:c>
      <x:c r="B9" t="str">
        <x:v>CCCCCC(=O)O</x:v>
      </x:c>
      <x:c r="C9" s="28" t="b">
        <x:v>1</x:v>
      </x:c>
      <x:c r="D9" t="str">
        <x:v>mol_01511</x:v>
      </x:c>
      <x:c r="E9" t="str">
        <x:v>OK</x:v>
      </x:c>
      <x:c r="F9" s="26" t="n">
        <x:v>-119.19994</x:v>
      </x:c>
      <x:c r="G9" s="26" t="n">
        <x:v>-122.12</x:v>
      </x:c>
      <x:c r="H9" s="26" t="n">
        <x:v>-510.95008</x:v>
      </x:c>
      <x:c r="I9" s="26"/>
      <x:c r="J9" s="26"/>
      <x:c r="K9" t="str">
        <x:v>batch_0032</x:v>
      </x:c>
      <x:c r="L9" t="str">
        <x:v>SUCCESS</x:v>
      </x:c>
      <x:c r="M9" t="str">
        <x:v>OK</x:v>
      </x:c>
      <x:c r="N9" t="str">
        <x:v>Match por SMILES exato</x:v>
      </x:c>
    </x:row>
    <x:row r="10">
      <x:c r="A10" t="str">
        <x:v>Heptanoic acid</x:v>
      </x:c>
      <x:c r="B10" t="str">
        <x:v>CCCCCCC(=O)O</x:v>
      </x:c>
      <x:c r="C10" s="28" t="b">
        <x:v>1</x:v>
      </x:c>
      <x:c r="D10" t="str">
        <x:v>mol_01999</x:v>
      </x:c>
      <x:c r="E10" t="str">
        <x:v>OK</x:v>
      </x:c>
      <x:c r="F10" s="26" t="n">
        <x:v>-123.43553</x:v>
      </x:c>
      <x:c r="G10" s="26" t="n">
        <x:v>-127.22</x:v>
      </x:c>
      <x:c r="H10" s="26" t="n">
        <x:v>-532.28848</x:v>
      </x:c>
      <x:c r="I10" s="26"/>
      <x:c r="J10" s="26"/>
      <x:c r="K10" t="str">
        <x:v>batch_0033</x:v>
      </x:c>
      <x:c r="L10" t="str">
        <x:v>SUCCESS</x:v>
      </x:c>
      <x:c r="M10" t="str">
        <x:v>OK</x:v>
      </x:c>
      <x:c r="N10" t="str">
        <x:v>Match por SMILES exato</x:v>
      </x:c>
    </x:row>
    <x:row r="11">
      <x:c r="A11" t="str">
        <x:v>Octanoic acid</x:v>
      </x:c>
      <x:c r="B11" t="str">
        <x:v>CCCCCCCC(=O)O</x:v>
      </x:c>
      <x:c r="C11" s="28" t="b">
        <x:v>1</x:v>
      </x:c>
      <x:c r="D11" t="str">
        <x:v>mol_02526</x:v>
      </x:c>
      <x:c r="E11" t="str">
        <x:v>Pending</x:v>
      </x:c>
      <x:c r="F11" s="26" t="n">
        <x:v>-127.67354</x:v>
      </x:c>
      <x:c r="G11" s="26"/>
      <x:c r="H11" s="26"/>
      <x:c r="I11" s="26"/>
      <x:c r="J11" s="26"/>
      <x:c r="K11" t="str"/>
      <x:c r="L11" t="str"/>
      <x:c r="M11" t="str"/>
      <x:c r="N11" t="str">
        <x:v>Match por SMILES exato</x:v>
      </x:c>
    </x:row>
    <x:row r="12">
      <x:c r="A12" t="str">
        <x:v>Dodecanoic acid</x:v>
      </x:c>
      <x:c r="B12" t="str">
        <x:v>CCCCCCCCCCCC(=O)O</x:v>
      </x:c>
      <x:c r="C12" s="28" t="b">
        <x:v>1</x:v>
      </x:c>
      <x:c r="D12" t="str">
        <x:v>mol_19014</x:v>
      </x:c>
      <x:c r="E12" t="str">
        <x:v>Pending</x:v>
      </x:c>
      <x:c r="F12" s="26" t="n">
        <x:v>-143.36099</x:v>
      </x:c>
      <x:c r="G12" s="26"/>
      <x:c r="H12" s="26"/>
      <x:c r="I12" s="26"/>
      <x:c r="J12" s="26"/>
      <x:c r="K12" t="str"/>
      <x:c r="L12" t="str"/>
      <x:c r="M12" t="str"/>
      <x:c r="N12" t="str">
        <x:v>Match por SMILES exato</x:v>
      </x:c>
    </x:row>
    <x:row r="13">
      <x:c r="A13" t="str">
        <x:v>Tetradecanoic acid</x:v>
      </x:c>
      <x:c r="B13" t="str">
        <x:v>CCCCCCCCCCCCCC(=O)O</x:v>
      </x:c>
      <x:c r="C13" s="28" t="b">
        <x:v>0</x:v>
      </x:c>
      <x:c r="D13" t="str"/>
      <x:c r="E13" t="str"/>
      <x:c r="F13" s="26"/>
      <x:c r="G13" s="26"/>
      <x:c r="H13" s="26"/>
      <x:c r="I13" s="26"/>
      <x:c r="J13" s="26"/>
      <x:c r="K13" t="str"/>
      <x:c r="L13" t="str"/>
      <x:c r="M13" t="str"/>
      <x:c r="N13" t="str">
        <x:v>Sem correspondência exata no CSV anexado</x:v>
      </x:c>
    </x:row>
    <x:row r="14">
      <x:c r="A14" t="str">
        <x:v>Hexadecanoic acid</x:v>
      </x:c>
      <x:c r="B14" t="str">
        <x:v>CCCCCCCCCCCCCCCC(=O)O</x:v>
      </x:c>
      <x:c r="C14" s="28" t="b">
        <x:v>1</x:v>
      </x:c>
      <x:c r="D14" t="str">
        <x:v>mol_19005</x:v>
      </x:c>
      <x:c r="E14" t="str">
        <x:v>Pending</x:v>
      </x:c>
      <x:c r="F14" s="26" t="n">
        <x:v>-159.43339</x:v>
      </x:c>
      <x:c r="G14" s="26"/>
      <x:c r="H14" s="26"/>
      <x:c r="I14" s="26"/>
      <x:c r="J14" s="26"/>
      <x:c r="K14" t="str"/>
      <x:c r="L14" t="str"/>
      <x:c r="M14" t="str"/>
      <x:c r="N14" t="str">
        <x:v>Match por SMILES exato</x:v>
      </x:c>
    </x:row>
    <x:row r="15">
      <x:c r="A15" t="str">
        <x:v>Methanol</x:v>
      </x:c>
      <x:c r="B15" t="str">
        <x:v>CO</x:v>
      </x:c>
      <x:c r="C15" s="28" t="b">
        <x:v>1</x:v>
      </x:c>
      <x:c r="D15" t="str">
        <x:v>mol_05665</x:v>
      </x:c>
      <x:c r="E15" t="str">
        <x:v>Pending</x:v>
      </x:c>
      <x:c r="F15" s="26" t="n">
        <x:v>-47.26828</x:v>
      </x:c>
      <x:c r="G15" s="26"/>
      <x:c r="H15" s="26"/>
      <x:c r="I15" s="26"/>
      <x:c r="J15" s="26"/>
      <x:c r="K15" t="str"/>
      <x:c r="L15" t="str"/>
      <x:c r="M15" t="str"/>
      <x:c r="N15" t="str">
        <x:v>Match por SMILES exato</x:v>
      </x:c>
    </x:row>
    <x:row r="16">
      <x:c r="A16" t="str">
        <x:v>Ethanol</x:v>
      </x:c>
      <x:c r="B16" t="str">
        <x:v>CCO</x:v>
      </x:c>
      <x:c r="C16" s="28" t="b">
        <x:v>1</x:v>
      </x:c>
      <x:c r="D16" t="str">
        <x:v>mol_05309</x:v>
      </x:c>
      <x:c r="E16" t="str">
        <x:v>Pending</x:v>
      </x:c>
      <x:c r="F16" s="26" t="n">
        <x:v>-54.11786</x:v>
      </x:c>
      <x:c r="G16" s="26"/>
      <x:c r="H16" s="26"/>
      <x:c r="I16" s="26"/>
      <x:c r="J16" s="26"/>
      <x:c r="K16" t="str"/>
      <x:c r="L16" t="str"/>
      <x:c r="M16" t="str"/>
      <x:c r="N16" t="str">
        <x:v>Match por SMILES exato</x:v>
      </x:c>
    </x:row>
    <x:row r="17">
      <x:c r="A17" t="str">
        <x:v>Glycerol</x:v>
      </x:c>
      <x:c r="B17" t="str">
        <x:v>C(C(CO)O)O</x:v>
      </x:c>
      <x:c r="C17" s="28" t="b">
        <x:v>0</x:v>
      </x:c>
      <x:c r="D17" t="str"/>
      <x:c r="E17" t="str"/>
      <x:c r="F17" s="26"/>
      <x:c r="G17" s="26"/>
      <x:c r="H17" s="26"/>
      <x:c r="I17" s="26"/>
      <x:c r="J17" s="26"/>
      <x:c r="K17" t="str"/>
      <x:c r="L17" t="str"/>
      <x:c r="M17" t="str"/>
      <x:c r="N17" t="str">
        <x:v>Sem correspondência exata no CSV anexado</x:v>
      </x:c>
    </x:row>
    <x:row r="18">
      <x:c r="A18" t="str">
        <x:v>Propanol</x:v>
      </x:c>
      <x:c r="B18" t="str">
        <x:v>CCCO</x:v>
      </x:c>
      <x:c r="C18" s="28" t="b">
        <x:v>1</x:v>
      </x:c>
      <x:c r="D18" t="str">
        <x:v>mol_05320</x:v>
      </x:c>
      <x:c r="E18" t="str">
        <x:v>Pending</x:v>
      </x:c>
      <x:c r="F18" s="26" t="n">
        <x:v>-58.04048</x:v>
      </x:c>
      <x:c r="G18" s="26"/>
      <x:c r="H18" s="26"/>
      <x:c r="I18" s="26"/>
      <x:c r="J18" s="26"/>
      <x:c r="K18" t="str"/>
      <x:c r="L18" t="str"/>
      <x:c r="M18" t="str"/>
      <x:c r="N18" t="str">
        <x:v>Match por SMILES exato</x:v>
      </x:c>
    </x:row>
    <x:row r="19">
      <x:c r="A19" t="str">
        <x:v>Butanol</x:v>
      </x:c>
      <x:c r="B19" t="str">
        <x:v>CCCCO</x:v>
      </x:c>
      <x:c r="C19" s="28" t="b">
        <x:v>1</x:v>
      </x:c>
      <x:c r="D19" t="str">
        <x:v>mol_05337</x:v>
      </x:c>
      <x:c r="E19" t="str">
        <x:v>Pending</x:v>
      </x:c>
      <x:c r="F19" s="26" t="n">
        <x:v>-60.31375</x:v>
      </x:c>
      <x:c r="G19" s="26"/>
      <x:c r="H19" s="26"/>
      <x:c r="I19" s="26"/>
      <x:c r="J19" s="26"/>
      <x:c r="K19" t="str"/>
      <x:c r="L19" t="str"/>
      <x:c r="M19" t="str"/>
      <x:c r="N19" t="str">
        <x:v>Match por SMILES exato</x:v>
      </x:c>
    </x:row>
    <x:row r="20">
      <x:c r="A20" t="str">
        <x:v>Pentanol</x:v>
      </x:c>
      <x:c r="B20" t="str">
        <x:v>CCCCCO</x:v>
      </x:c>
      <x:c r="C20" s="28" t="b">
        <x:v>1</x:v>
      </x:c>
      <x:c r="D20" t="str">
        <x:v>mol_05538</x:v>
      </x:c>
      <x:c r="E20" t="str">
        <x:v>Pending</x:v>
      </x:c>
      <x:c r="F20" s="26" t="n">
        <x:v>-66.25084</x:v>
      </x:c>
      <x:c r="G20" s="26"/>
      <x:c r="H20" s="26"/>
      <x:c r="I20" s="26"/>
      <x:c r="J20" s="26"/>
      <x:c r="K20" t="str"/>
      <x:c r="L20" t="str"/>
      <x:c r="M20" t="str"/>
      <x:c r="N20" t="str">
        <x:v>Match por SMILES exato</x:v>
      </x:c>
    </x:row>
    <x:row r="21">
      <x:c r="A21" t="str">
        <x:v>Hexanol</x:v>
      </x:c>
      <x:c r="B21" t="str">
        <x:v>CCCCCCO</x:v>
      </x:c>
      <x:c r="C21" s="28" t="b">
        <x:v>1</x:v>
      </x:c>
      <x:c r="D21" t="str">
        <x:v>mol_05437</x:v>
      </x:c>
      <x:c r="E21" t="str">
        <x:v>Pending</x:v>
      </x:c>
      <x:c r="F21" s="26" t="n">
        <x:v>-70.41982</x:v>
      </x:c>
      <x:c r="G21" s="26"/>
      <x:c r="H21" s="26"/>
      <x:c r="I21" s="26"/>
      <x:c r="J21" s="26"/>
      <x:c r="K21" t="str"/>
      <x:c r="L21" t="str"/>
      <x:c r="M21" t="str"/>
      <x:c r="N21" t="str">
        <x:v>Match por SMILES exato</x:v>
      </x:c>
    </x:row>
    <x:row r="22">
      <x:c r="A22" t="str">
        <x:v>Heptanol</x:v>
      </x:c>
      <x:c r="B22" t="str">
        <x:v>CCCCCCCO</x:v>
      </x:c>
      <x:c r="C22" s="28" t="b">
        <x:v>1</x:v>
      </x:c>
      <x:c r="D22" t="str">
        <x:v>mol_05573</x:v>
      </x:c>
      <x:c r="E22" t="str">
        <x:v>Pending</x:v>
      </x:c>
      <x:c r="F22" s="26" t="n">
        <x:v>-74.58832</x:v>
      </x:c>
      <x:c r="G22" s="26"/>
      <x:c r="H22" s="26"/>
      <x:c r="I22" s="26"/>
      <x:c r="J22" s="26"/>
      <x:c r="K22" t="str"/>
      <x:c r="L22" t="str"/>
      <x:c r="M22" t="str"/>
      <x:c r="N22" t="str">
        <x:v>Match por SMILES exato</x:v>
      </x:c>
    </x:row>
    <x:row r="23">
      <x:c r="A23" t="str">
        <x:v>Octanol</x:v>
      </x:c>
      <x:c r="B23" t="str">
        <x:v>CCCCCCCCO</x:v>
      </x:c>
      <x:c r="C23" s="28" t="b">
        <x:v>0</x:v>
      </x:c>
      <x:c r="D23" t="str"/>
      <x:c r="E23" t="str"/>
      <x:c r="F23" s="26"/>
      <x:c r="G23" s="26"/>
      <x:c r="H23" s="26"/>
      <x:c r="I23" s="26"/>
      <x:c r="J23" s="26"/>
      <x:c r="K23" t="str"/>
      <x:c r="L23" t="str"/>
      <x:c r="M23" t="str"/>
      <x:c r="N23" t="str">
        <x:v>Sem correspondência exata no CSV anexado</x:v>
      </x:c>
    </x:row>
    <x:row r="24">
      <x:c r="A24" t="str">
        <x:v>Methyl acetate</x:v>
      </x:c>
      <x:c r="B24" t="str">
        <x:v>CC(=O)OC</x:v>
      </x:c>
      <x:c r="C24" s="28" t="b">
        <x:v>0</x:v>
      </x:c>
      <x:c r="D24" t="str"/>
      <x:c r="E24" t="str"/>
      <x:c r="F24" s="26"/>
      <x:c r="G24" s="26"/>
      <x:c r="H24" s="26"/>
      <x:c r="I24" s="26"/>
      <x:c r="J24" s="26"/>
      <x:c r="K24" t="str"/>
      <x:c r="L24" t="str"/>
      <x:c r="M24" t="str"/>
      <x:c r="N24" t="str">
        <x:v>Sem correspondência exata no CSV anexado</x:v>
      </x:c>
    </x:row>
    <x:row r="25">
      <x:c r="A25" t="str">
        <x:v>Methyl propionate</x:v>
      </x:c>
      <x:c r="B25" t="str">
        <x:v>CCC(=O)OC</x:v>
      </x:c>
      <x:c r="C25" s="28" t="b">
        <x:v>1</x:v>
      </x:c>
      <x:c r="D25" t="str">
        <x:v>mol_03435</x:v>
      </x:c>
      <x:c r="E25" t="str">
        <x:v>Pending</x:v>
      </x:c>
      <x:c r="F25" s="26" t="n">
        <x:v>-101.9464</x:v>
      </x:c>
      <x:c r="G25" s="26"/>
      <x:c r="H25" s="26"/>
      <x:c r="I25" s="26"/>
      <x:c r="J25" s="26"/>
      <x:c r="K25" t="str"/>
      <x:c r="L25" t="str"/>
      <x:c r="M25" t="str"/>
      <x:c r="N25" t="str">
        <x:v>Match por SMILES exato</x:v>
      </x:c>
    </x:row>
    <x:row r="26">
      <x:c r="A26" t="str">
        <x:v>Methyl butyrate</x:v>
      </x:c>
      <x:c r="B26" t="str">
        <x:v>CCCC(=O)OC</x:v>
      </x:c>
      <x:c r="C26" s="28" t="b">
        <x:v>1</x:v>
      </x:c>
      <x:c r="D26" t="str">
        <x:v>mol_03513</x:v>
      </x:c>
      <x:c r="E26" t="str">
        <x:v>Pending</x:v>
      </x:c>
      <x:c r="F26" s="26" t="n">
        <x:v>-106.03348</x:v>
      </x:c>
      <x:c r="G26" s="26"/>
      <x:c r="H26" s="26"/>
      <x:c r="I26" s="26"/>
      <x:c r="J26" s="26"/>
      <x:c r="K26" t="str"/>
      <x:c r="L26" t="str"/>
      <x:c r="M26" t="str"/>
      <x:c r="N26" t="str">
        <x:v>Match por SMILES exato</x:v>
      </x:c>
    </x:row>
    <x:row r="27">
      <x:c r="A27" t="str">
        <x:v>Methyl pentanoate</x:v>
      </x:c>
      <x:c r="B27" t="str">
        <x:v>CCCCC(=O)OC</x:v>
      </x:c>
      <x:c r="C27" s="28" t="b">
        <x:v>1</x:v>
      </x:c>
      <x:c r="D27" t="str">
        <x:v>mol_03606</x:v>
      </x:c>
      <x:c r="E27" t="str">
        <x:v>Pending</x:v>
      </x:c>
      <x:c r="F27" s="26" t="n">
        <x:v>-109.76192</x:v>
      </x:c>
      <x:c r="G27" s="26"/>
      <x:c r="H27" s="26"/>
      <x:c r="I27" s="26"/>
      <x:c r="J27" s="26"/>
      <x:c r="K27" t="str"/>
      <x:c r="L27" t="str"/>
      <x:c r="M27" t="str"/>
      <x:c r="N27" t="str">
        <x:v>Match por SMILES exato</x:v>
      </x:c>
    </x:row>
    <x:row r="28">
      <x:c r="A28" t="str">
        <x:v>Methyl hexanoate</x:v>
      </x:c>
      <x:c r="B28" t="str">
        <x:v>CCCCCC(=O)OC</x:v>
      </x:c>
      <x:c r="C28" s="28" t="b">
        <x:v>1</x:v>
      </x:c>
      <x:c r="D28" t="str">
        <x:v>mol_04136</x:v>
      </x:c>
      <x:c r="E28" t="str">
        <x:v>Pending</x:v>
      </x:c>
      <x:c r="F28" s="26" t="n">
        <x:v>-114.44349</x:v>
      </x:c>
      <x:c r="G28" s="26"/>
      <x:c r="H28" s="26"/>
      <x:c r="I28" s="26"/>
      <x:c r="J28" s="26"/>
      <x:c r="K28" t="str"/>
      <x:c r="L28" t="str"/>
      <x:c r="M28" t="str"/>
      <x:c r="N28" t="str">
        <x:v>Match por SMILES exato</x:v>
      </x:c>
    </x:row>
    <x:row r="29">
      <x:c r="A29" t="str">
        <x:v>Methyl heptanoate</x:v>
      </x:c>
      <x:c r="B29" t="str">
        <x:v>CCCCCCC(=O)OC</x:v>
      </x:c>
      <x:c r="C29" s="28" t="b">
        <x:v>1</x:v>
      </x:c>
      <x:c r="D29" t="str">
        <x:v>mol_04742</x:v>
      </x:c>
      <x:c r="E29" t="str">
        <x:v>Pending</x:v>
      </x:c>
      <x:c r="F29" s="26" t="n">
        <x:v>-118.59744</x:v>
      </x:c>
      <x:c r="G29" s="26"/>
      <x:c r="H29" s="26"/>
      <x:c r="I29" s="26"/>
      <x:c r="J29" s="26"/>
      <x:c r="K29" t="str"/>
      <x:c r="L29" t="str"/>
      <x:c r="M29" t="str"/>
      <x:c r="N29" t="str">
        <x:v>Match por SMILES exato</x:v>
      </x:c>
    </x:row>
    <x:row r="30">
      <x:c r="A30" t="str">
        <x:v>Methyl octanoate</x:v>
      </x:c>
      <x:c r="B30" t="str">
        <x:v>CCCCCCCC(=O)OC</x:v>
      </x:c>
      <x:c r="C30" s="28" t="b">
        <x:v>0</x:v>
      </x:c>
      <x:c r="D30" t="str"/>
      <x:c r="E30" t="str"/>
      <x:c r="F30" s="26"/>
      <x:c r="G30" s="26"/>
      <x:c r="H30" s="26"/>
      <x:c r="I30" s="26"/>
      <x:c r="J30" s="26"/>
      <x:c r="K30" t="str"/>
      <x:c r="L30" t="str"/>
      <x:c r="M30" t="str"/>
      <x:c r="N30" t="str">
        <x:v>Sem correspondência exata no CSV anexado</x:v>
      </x:c>
    </x:row>
    <x:row r="31">
      <x:c r="A31" t="str">
        <x:v>Methyl Dodecanoate</x:v>
      </x:c>
      <x:c r="B31" t="str">
        <x:v>CCCCCCCCCCCC(=O)OC</x:v>
      </x:c>
      <x:c r="C31" s="28" t="b">
        <x:v>1</x:v>
      </x:c>
      <x:c r="D31" t="str">
        <x:v>mol_19010</x:v>
      </x:c>
      <x:c r="E31" t="str">
        <x:v>Pending</x:v>
      </x:c>
      <x:c r="F31" s="26" t="n">
        <x:v>-139.13955</x:v>
      </x:c>
      <x:c r="G31" s="26"/>
      <x:c r="H31" s="26"/>
      <x:c r="I31" s="26"/>
      <x:c r="J31" s="26"/>
      <x:c r="K31" t="str"/>
      <x:c r="L31" t="str"/>
      <x:c r="M31" t="str"/>
      <x:c r="N31" t="str">
        <x:v>Match por SMILES exato</x:v>
      </x:c>
    </x:row>
    <x:row r="32">
      <x:c r="A32" t="str">
        <x:v>Methyl Tetradecanoate</x:v>
      </x:c>
      <x:c r="B32" t="str">
        <x:v>CCCCCCCCCCCCCC(=O)OC</x:v>
      </x:c>
      <x:c r="C32" s="28" t="b">
        <x:v>0</x:v>
      </x:c>
      <x:c r="D32" t="str"/>
      <x:c r="E32" t="str"/>
      <x:c r="F32" s="26"/>
      <x:c r="G32" s="26"/>
      <x:c r="H32" s="26"/>
      <x:c r="I32" s="26"/>
      <x:c r="J32" s="26"/>
      <x:c r="K32" t="str"/>
      <x:c r="L32" t="str"/>
      <x:c r="M32" t="str"/>
      <x:c r="N32" t="str">
        <x:v>Sem correspondência exata no CSV anexado</x:v>
      </x:c>
    </x:row>
    <x:row r="33">
      <x:c r="A33" t="str">
        <x:v>Methyl Hexadecanoate</x:v>
      </x:c>
      <x:c r="B33" t="str">
        <x:v>CCCCCCCCCCCCCCCC(=O)OC</x:v>
      </x:c>
      <x:c r="C33" s="28" t="b">
        <x:v>0</x:v>
      </x:c>
      <x:c r="D33" t="str"/>
      <x:c r="E33" t="str"/>
      <x:c r="F33" s="26"/>
      <x:c r="G33" s="26"/>
      <x:c r="H33" s="26"/>
      <x:c r="I33" s="26"/>
      <x:c r="J33" s="26"/>
      <x:c r="K33" t="str"/>
      <x:c r="L33" t="str"/>
      <x:c r="M33" t="str"/>
      <x:c r="N33" t="str">
        <x:v>Sem correspondência exata no CSV anexado</x:v>
      </x:c>
    </x:row>
    <x:row r="34">
      <x:c r="A34" t="str">
        <x:v>Triacetin</x:v>
      </x:c>
      <x:c r="B34" t="str">
        <x:v>CC(=O)OCC(COC(C)=O)OC(C)=O</x:v>
      </x:c>
      <x:c r="C34" s="28" t="b">
        <x:v>1</x:v>
      </x:c>
      <x:c r="D34" t="str">
        <x:v>mol_19015</x:v>
      </x:c>
      <x:c r="E34" t="str">
        <x:v>Pending</x:v>
      </x:c>
      <x:c r="F34" s="26" t="n">
        <x:v>-285781</x:v>
      </x:c>
      <x:c r="G34" s="26"/>
      <x:c r="H34" s="26"/>
      <x:c r="I34" s="26"/>
      <x:c r="J34" s="26"/>
      <x:c r="K34" t="str"/>
      <x:c r="L34" t="str"/>
      <x:c r="M34" t="str"/>
      <x:c r="N34" t="str">
        <x:v>Match por SMILES exato</x:v>
      </x:c>
    </x:row>
    <x:row r="35">
      <x:c r="A35" t="str">
        <x:v>Tributyrin</x:v>
      </x:c>
      <x:c r="B35" t="str">
        <x:v>CCCC(=O)OCC(COC(=O)CCC)OC(=O)CCC</x:v>
      </x:c>
      <x:c r="C35" s="28" t="b">
        <x:v>0</x:v>
      </x:c>
      <x:c r="D35" t="str"/>
      <x:c r="E35" t="str"/>
      <x:c r="F35" s="26"/>
      <x:c r="G35" s="26"/>
      <x:c r="H35" s="26"/>
      <x:c r="I35" s="26"/>
      <x:c r="J35" s="26"/>
      <x:c r="K35" t="str"/>
      <x:c r="L35" t="str"/>
      <x:c r="M35" t="str"/>
      <x:c r="N35" t="str">
        <x:v>Sem correspondência exata no CSV anexado</x:v>
      </x:c>
    </x:row>
    <x:row r="36">
      <x:c r="A36" t="str">
        <x:v>Trilaurin</x:v>
      </x:c>
      <x:c r="B36" t="str">
        <x:v>CCCCCCCCCCCC(=O)OCC(COC(=O)CCCCCCCCCCC)OC(=O)CCCCCCCCCCC</x:v>
      </x:c>
      <x:c r="C36" s="28" t="b">
        <x:v>0</x:v>
      </x:c>
      <x:c r="D36" t="str"/>
      <x:c r="E36" t="str"/>
      <x:c r="F36" s="26"/>
      <x:c r="G36" s="26"/>
      <x:c r="H36" s="26"/>
      <x:c r="I36" s="26"/>
      <x:c r="J36" s="26"/>
      <x:c r="K36" t="str"/>
      <x:c r="L36" t="str"/>
      <x:c r="M36" t="str"/>
      <x:c r="N36" t="str">
        <x:v>Sem correspondência exata no CSV anexado</x:v>
      </x:c>
    </x:row>
    <x:row r="37">
      <x:c r="A37" t="str">
        <x:v>Trimyristin</x:v>
      </x:c>
      <x:c r="B37" t="str">
        <x:v>CCCCCCCCCCCCCC(=O)OCC(COC(=O)CCCCCCCCCCCCC)OC(=O)CCCCCCCCCCCCC</x:v>
      </x:c>
      <x:c r="C37" s="28" t="b">
        <x:v>0</x:v>
      </x:c>
      <x:c r="D37" t="str"/>
      <x:c r="E37" t="str"/>
      <x:c r="F37" s="26"/>
      <x:c r="G37" s="26"/>
      <x:c r="H37" s="26"/>
      <x:c r="I37" s="26"/>
      <x:c r="J37" s="26"/>
      <x:c r="K37" t="str"/>
      <x:c r="L37" t="str"/>
      <x:c r="M37" t="str"/>
      <x:c r="N37" t="str">
        <x:v>Sem correspondência exata no CSV anexado</x:v>
      </x:c>
    </x:row>
    <x:row r="38">
      <x:c r="A38" t="str">
        <x:v>Tripalmitin</x:v>
      </x:c>
      <x:c r="B38" t="str">
        <x:v>CCCCCCCCCCCCCCCC(=O)OCC(COC(=O)CCCCCCCCCCCCCCC)OC(=O)CCCCCCCCCCCCCCC</x:v>
      </x:c>
      <x:c r="C38" s="28" t="b">
        <x:v>0</x:v>
      </x:c>
      <x:c r="D38" t="str"/>
      <x:c r="E38" t="str"/>
      <x:c r="F38" s="26"/>
      <x:c r="G38" s="26"/>
      <x:c r="H38" s="26"/>
      <x:c r="I38" s="26"/>
      <x:c r="J38" s="26"/>
      <x:c r="K38" t="str"/>
      <x:c r="L38" t="str"/>
      <x:c r="M38" t="str"/>
      <x:c r="N38" t="str">
        <x:v>Sem correspondência exata no CSV anexado</x:v>
      </x:c>
    </x:row>
    <x:row r="39">
      <x:c r="A39" t="str">
        <x:v>Water</x:v>
      </x:c>
      <x:c r="B39" t="str">
        <x:v>O</x:v>
      </x:c>
      <x:c r="C39" s="28" t="b">
        <x:v>0</x:v>
      </x:c>
      <x:c r="D39" t="str"/>
      <x:c r="E39" t="str"/>
      <x:c r="F39" s="26"/>
      <x:c r="G39" s="26"/>
      <x:c r="H39" s="26"/>
      <x:c r="I39" s="26"/>
      <x:c r="J39" s="26"/>
      <x:c r="K39" t="str"/>
      <x:c r="L39" t="str"/>
      <x:c r="M39" t="str"/>
      <x:c r="N39" t="str">
        <x:v>Sem correspondência exata no CSV anexado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5" hidden="0" customWidth="1"/>
  </x:cols>
  <x:sheetData>
    <x:row r="1">
      <x:c r="A1" s="4" t="str">
        <x:v>Instruções resumidas para Claude Code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Versão curta; o prompt completo também foi salvo em arquivo Markdown separado.</x:v>
      </x:c>
      <x:c r="B2" s="10"/>
      <x:c r="C2" s="10"/>
      <x:c r="D2" s="10"/>
      <x:c r="E2" s="10"/>
      <x:c r="F2" s="10"/>
      <x:c r="G2" s="10"/>
      <x:c r="H2" s="10"/>
    </x:row>
    <x:row r="4">
      <x:c r="A4" s="18" t="str">
        <x:v>Bloco</x:v>
      </x:c>
      <x:c r="B4" s="18" t="str">
        <x:v>Instrução</x:v>
      </x:c>
    </x:row>
    <x:row r="5">
      <x:c r="A5" s="24" t="str">
        <x:v>Objetivo</x:v>
      </x:c>
      <x:c r="B5" s="24" t="str">
        <x:v>Criar pacote Python grimperium_mini a partir do Grimperium V2, mantendo apenas RDKit → CREST → MOPAC → CSV/XLSX.</x:v>
      </x:c>
    </x:row>
    <x:row r="6">
      <x:c r="A6" s="24" t="str">
        <x:v>Métodos MOPAC</x:v>
      </x:c>
      <x:c r="B6" s="24" t="str">
        <x:v>AM1, PM3 e PM7. Não fixar PM7 no gerador de input; o método deve ser parâmetro por linha do pipeline.</x:v>
      </x:c>
    </x:row>
    <x:row r="7">
      <x:c r="A7" s="24" t="str">
        <x:v>Entrada</x:v>
      </x:c>
      <x:c r="B7" s="24" t="str">
        <x:v>Ler a aba 02_pipeline_grimperium_mini ou export CSV equivalente; processar uma linha por molécula+método.</x:v>
      </x:c>
    </x:row>
    <x:row r="8">
      <x:c r="A8" s="24" t="str">
        <x:v>Saída</x:v>
      </x:c>
      <x:c r="B8" s="24" t="str">
        <x:v>Preencher HOF em kcal/mol e kJ/mol, status, arquivos de saída, número de conformeros e mensagens de erro.</x:v>
      </x:c>
    </x:row>
    <x:row r="9">
      <x:c r="A9" s="24" t="str">
        <x:v>Não incluir</x:v>
      </x:c>
      <x:c r="B9" s="24" t="str">
        <x:v>CBS-QB3, treinamento delta-learning, XGBoost/KRR, CLI completa, dashboards e lógica de batch complexa.</x:v>
      </x:c>
    </x:row>
  </x:sheetData>
  <x:mergeCells>
    <x:mergeCell ref="A1:H1"/>
    <x:mergeCell ref="A2:H2"/>
  </x:mergeCells>
  <x:pageMargins left="0.7" right="0.7" top="0.75" bottom="0.75" header="0.3" footer="0.3"/>
</x:worksheet>
</file>